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<sst xmlns="http://schemas.openxmlformats.org/spreadsheetml/2006/main" count="142" uniqueCount="106">
  <si>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</si>
  <si>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</si>
  <si>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</si>
  <si>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</si>
  <si>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</si>
  <si>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</si>
  <si>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</si>
  <si>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</si>
  <si>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</si>
  <si>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</si>
  <si>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</si>
  <si>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</si>
  <si>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</si>
  <si>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</si>
  <si>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</si>
  <si>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</si>
  <si>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</si>
  <si>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</si>
  <si>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</si>
  <si>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</si>
  <si>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</si>
  <si>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</si>
  <si>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</si>
  <si>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</si>
  <si>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</si>
  <si>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</si>
  <si>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</si>
  <si>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</si>
  <si>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</si>
  <si>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</si>
  <si>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</si>
  <si>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</si>
  <si>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</si>
  <si>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</si>
  <si>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</si>
  <si>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</si>
  <si>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</si>
  <si>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</si>
  <si>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</si>
  <si>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</si>
  <si>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</si>
  <si>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</si>
  <si>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</si>
  <si>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</si>
  <si>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</si>
  <si>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</si>
  <si>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</si>
  <si>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</si>
  <si>
    <t>Wire frame Prototyping (All pages)</t>
  </si>
  <si>
    <t>Revised Requirment document file</t>
  </si>
  <si>
    <t>Week_6</t>
  </si>
  <si>
    <t>Figma User Testing (for 2 Users)</t>
  </si>
  <si>
    <t>Figma User Testing (for 3 Users)</t>
  </si>
  <si>
    <t>Mentor Draft Email</t>
  </si>
  <si>
    <t>Mentor Checklist</t>
  </si>
  <si>
    <t>set up the Laravel project, connected the database, installed the login/register system, added user roles (patient, doctor, admin), created role-based dashboard routes, and worked on debugging the login/session issue.</t>
  </si>
  <si>
    <t>Week_7</t>
  </si>
  <si>
    <t>Worked on homepage UI improvements including navbar hover effects, updated Register button to primary blue, refined hero section layout and styling, adjusted text colors, and improved overall visual clarity.</t>
  </si>
  <si>
    <t>Completed Home page (Hero section)</t>
  </si>
  <si>
    <t>Completed Home page (Services section)</t>
  </si>
  <si>
    <t>Completed Home page (Footer section)</t>
  </si>
  <si>
    <t>Revised User Testing Report</t>
  </si>
  <si>
    <t>Add Doctors Pages</t>
  </si>
  <si>
    <t>Mentor Meeting</t>
  </si>
  <si>
    <t>Mentor Meeting Thank you email</t>
  </si>
  <si>
    <t>Mentor meeting Notes for Bernie</t>
  </si>
  <si>
    <t>Week_8</t>
  </si>
  <si>
    <t>Create Admin Dashboard UI</t>
  </si>
  <si>
    <t>Create Admin Appoitment Page UI</t>
  </si>
  <si>
    <t>Create Admin Profile UI</t>
  </si>
  <si>
    <t>Create Health Record UI</t>
  </si>
  <si>
    <t>Create Find-Dotcor Page UI</t>
  </si>
  <si>
    <t>Create Services Page UI</t>
  </si>
  <si>
    <t>Create Book-appointment Form UI</t>
  </si>
  <si>
    <t>Create Contact US Page UI</t>
  </si>
  <si>
    <t>Solve Error for find doctor Page + create Doctor Profile pages for 5 Doctors</t>
  </si>
  <si>
    <t>Services Page UI Connect with Services page and department pages (Controller + model)</t>
  </si>
  <si>
    <t>Implement Book Appointment Form functionality (Controller + Model + Route)</t>
  </si>
  <si>
    <t>Create Appointments Database Table and connect form to MySQL</t>
  </si>
  <si>
    <t>Improve Book Appointment UI and form validation</t>
  </si>
  <si>
    <t>Modified some Css &amp; Page in Portfolio</t>
  </si>
  <si>
    <t>Week_9</t>
  </si>
  <si>
    <t>Connected patient dashboard with database to display upcoming and recent appointments dynamically.</t>
  </si>
  <si>
    <t>Create New page for patient (record page)  + connect with databse</t>
  </si>
  <si>
    <t>Create New page for patient (Edit appointment) + connect with databse</t>
  </si>
  <si>
    <t>Fully Dynamic Patient Pofile ready  + Testing</t>
  </si>
  <si>
    <t>Refactored Laravel controllers and models to improve database handling for appointments, departments, services, and patient modules.</t>
  </si>
  <si>
    <t>Improved Find Doctor page and connected doctor profiles dynamically with database data.</t>
  </si>
  <si>
    <t>Created and connected Services and Department Details pages with backend database records.</t>
  </si>
  <si>
    <t>Updated Blade layouts for site, admin, and doctor panels to maintain consistent UI and navigation across pages.</t>
  </si>
  <si>
    <t>Added migrations and models for doctor availability and improved database structure for appointments.</t>
  </si>
  <si>
    <t>Performed testing and debugging of patient, doctor, and admin pages to ensure correct data display and functionality.</t>
  </si>
  <si>
    <t>Fixed duplicate department/service routes and connected department &amp; service detail pages to correct controllers and blade views.</t>
  </si>
  <si>
    <t>Created Staff View page with appointment status update feature and added Staff user role to the system.</t>
  </si>
  <si>
    <t>Auto-complete past appointments logic added to PatientController for dashboard and appointments pages.</t>
  </si>
  <si>
    <t>Added Book Appointment CTA to patient dashboard and appointments page.</t>
  </si>
  <si>
    <t>Made Find Doctor, Doctor Profile, Services, and Department pages fully responsive for mobile and tablet.</t>
  </si>
  <si>
    <t>Week_10</t>
  </si>
  <si>
    <t>Refactored blade files to clean structure and improve UI consistency</t>
  </si>
  <si>
    <t>Tested dynamic data rendering for patient and appointment pages.</t>
  </si>
  <si>
    <t>Performed end-to-end testing of patient workflow from login to appointment booking and confirmation.</t>
  </si>
  <si>
    <t>Tested complete doctor flow including profile view and appointment handling.</t>
  </si>
  <si>
    <t>Validated database integration by checking data consistency across patient, doctor, and appointments modules.</t>
  </si>
  <si>
    <t>Tested responsive behavior and cross-device compatibility for all major pages.</t>
  </si>
  <si>
    <t>Search Best Hosting option to Deploy Website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</si>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</sst>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  <font>
      <sz val="11.0"/>
      <color rgb="FF000000"/>
      <name val="Calibri"/>
    </font>
    <font>
      <sz val="14.0"/>
      <color theme="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7EFF6"/>
        <bgColor rgb="FFC7EFF6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  <xf borderId="1" fillId="10" fontId="5" numFmtId="0" xfId="0" applyAlignment="1" applyBorder="1" applyFill="1" applyFont="1">
      <alignment horizontal="center" readingOrder="0"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readingOrder="0" shrinkToFit="0" vertical="bottom" wrapText="0"/>
    </xf>
    <xf borderId="1" fillId="10" fontId="6" numFmtId="165" xfId="0" applyAlignment="1" applyBorder="1" applyFont="1" applyNumberFormat="1">
      <alignment horizontal="right"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10" fontId="6" numFmtId="0" xfId="0" applyAlignment="1" applyBorder="1" applyFont="1">
      <alignment readingOrder="0" shrinkToFit="0" vertical="bottom" wrapText="1"/>
    </xf>
    <xf borderId="1" fillId="10" fontId="7" numFmtId="0" xfId="0" applyAlignment="1" applyBorder="1" applyFont="1">
      <alignment horizontal="left" shrinkToFit="0" vertical="bottom" wrapText="0"/>
    </xf>
    <xf borderId="1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shrinkToFit="0" vertical="bottom" wrapText="0"/>
    </xf>
    <xf borderId="1" fillId="11" fontId="5" numFmtId="0" xfId="0" applyAlignment="1" applyBorder="1" applyFill="1" applyFont="1">
      <alignment horizontal="center" readingOrder="0"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6" numFmtId="0" xfId="0" applyAlignment="1" applyBorder="1" applyFont="1">
      <alignment readingOrder="0" shrinkToFit="0" vertical="bottom" wrapText="1"/>
    </xf>
    <xf borderId="1" fillId="11" fontId="6" numFmtId="165" xfId="0" applyAlignment="1" applyBorder="1" applyFont="1" applyNumberFormat="1">
      <alignment horizontal="right" readingOrder="0" shrinkToFit="0" vertical="bottom" wrapText="0"/>
    </xf>
    <xf borderId="1" fillId="11" fontId="2" numFmtId="0" xfId="0" applyAlignment="1" applyBorder="1" applyFont="1">
      <alignment horizontal="right" readingOrder="0" shrinkToFit="0" vertical="bottom" wrapText="0"/>
    </xf>
    <xf borderId="1" fillId="11" fontId="6" numFmtId="0" xfId="0" applyAlignment="1" applyBorder="1" applyFont="1">
      <alignment readingOrder="0" shrinkToFit="0" vertical="bottom" wrapText="0"/>
    </xf>
    <xf borderId="1" fillId="11" fontId="3" numFmtId="0" xfId="0" applyBorder="1" applyFont="1"/>
    <xf borderId="1" fillId="11" fontId="8" numFmtId="0" xfId="0" applyAlignment="1" applyBorder="1" applyFont="1">
      <alignment readingOrder="0"/>
    </xf>
    <xf borderId="1" fillId="11" fontId="3" numFmtId="0" xfId="0" applyAlignment="1" applyBorder="1" applyFont="1">
      <alignment readingOrder="0"/>
    </xf>
    <xf borderId="0" fillId="11" fontId="3" numFmtId="0" xfId="0" applyFont="1"/>
    <xf borderId="1" fillId="11" fontId="7" numFmtId="0" xfId="0" applyAlignment="1" applyBorder="1" applyFont="1">
      <alignment horizontal="left" shrinkToFit="0" vertical="bottom" wrapText="0"/>
    </xf>
    <xf borderId="1" fillId="11" fontId="8" numFmtId="0" xfId="0" applyAlignment="1" applyBorder="1" applyFont="1">
      <alignment horizontal="left" readingOrder="0" shrinkToFit="0" vertical="bottom" wrapText="0"/>
    </xf>
    <xf borderId="1" fillId="11" fontId="8" numFmtId="0" xfId="0" applyAlignment="1" applyBorder="1" applyFont="1">
      <alignment horizontal="left" shrinkToFit="0" vertical="bottom" wrapText="0"/>
    </xf>
    <xf borderId="1" fillId="9" fontId="6" numFmtId="0" xfId="0" applyAlignment="1" applyBorder="1" applyFont="1">
      <alignment readingOrder="0" shrinkToFit="0" vertical="bottom" wrapText="1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6" numFmtId="165" xfId="0" applyAlignment="1" applyBorder="1" applyFont="1" applyNumberFormat="1">
      <alignment horizontal="right" readingOrder="0" shrinkToFit="0" vertical="bottom" wrapText="0"/>
    </xf>
    <xf borderId="1" fillId="9" fontId="3" numFmtId="0" xfId="0" applyBorder="1" applyFont="1"/>
    <xf borderId="1" fillId="9" fontId="3" numFmtId="0" xfId="0" applyAlignment="1" applyBorder="1" applyFont="1">
      <alignment readingOrder="0"/>
    </xf>
    <xf borderId="1" fillId="9" fontId="8" numFmtId="0" xfId="0" applyAlignment="1" applyBorder="1" applyFont="1">
      <alignment readingOrder="0"/>
    </xf>
    <xf borderId="1" fillId="9" fontId="2" numFmtId="0" xfId="0" applyAlignment="1" applyBorder="1" applyFont="1">
      <alignment readingOrder="0" shrinkToFit="0" vertical="bottom" wrapText="0"/>
    </xf>
    <xf borderId="1" fillId="12" fontId="5" numFmtId="0" xfId="0" applyAlignment="1" applyBorder="1" applyFill="1" applyFont="1">
      <alignment horizontal="center" readingOrder="0" shrinkToFit="0" vertical="bottom" wrapText="0"/>
    </xf>
    <xf borderId="1" fillId="12" fontId="5" numFmtId="0" xfId="0" applyAlignment="1" applyBorder="1" applyFont="1">
      <alignment horizontal="right" readingOrder="0" shrinkToFit="0" vertical="bottom" wrapText="0"/>
    </xf>
    <xf borderId="1" fillId="12" fontId="2" numFmtId="0" xfId="0" applyAlignment="1" applyBorder="1" applyFont="1">
      <alignment shrinkToFit="0" vertical="bottom" wrapText="0"/>
    </xf>
    <xf borderId="1" fillId="12" fontId="6" numFmtId="0" xfId="0" applyAlignment="1" applyBorder="1" applyFont="1">
      <alignment horizontal="left" readingOrder="0" shrinkToFit="0" vertical="bottom" wrapText="1"/>
    </xf>
    <xf borderId="1" fillId="12" fontId="6" numFmtId="165" xfId="0" applyAlignment="1" applyBorder="1" applyFont="1" applyNumberFormat="1">
      <alignment horizontal="right" readingOrder="0" shrinkToFit="0" vertical="bottom" wrapText="0"/>
    </xf>
    <xf borderId="1" fillId="12" fontId="6" numFmtId="0" xfId="0" applyAlignment="1" applyBorder="1" applyFont="1">
      <alignment horizontal="right" readingOrder="0" shrinkToFit="0" vertical="bottom" wrapText="0"/>
    </xf>
    <xf borderId="1" fillId="12" fontId="6" numFmtId="0" xfId="0" applyAlignment="1" applyBorder="1" applyFont="1">
      <alignment horizontal="left" readingOrder="0" shrinkToFit="0" vertical="bottom" wrapText="0"/>
    </xf>
    <xf borderId="1" fillId="13" fontId="6" numFmtId="0" xfId="0" applyAlignment="1" applyBorder="1" applyFill="1" applyFont="1">
      <alignment horizontal="left" readingOrder="0" shrinkToFit="0" vertical="bottom" wrapText="0"/>
    </xf>
    <xf borderId="1" fillId="13" fontId="6" numFmtId="165" xfId="0" applyAlignment="1" applyBorder="1" applyFont="1" applyNumberFormat="1">
      <alignment horizontal="right" readingOrder="0" shrinkToFit="0" vertical="bottom" wrapText="0"/>
    </xf>
    <xf borderId="1" fillId="13" fontId="6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12" fontId="3" numFmtId="0" xfId="0" applyBorder="1" applyFont="1"/>
    <xf borderId="1" fillId="12" fontId="7" numFmtId="0" xfId="0" applyAlignment="1" applyBorder="1" applyFont="1">
      <alignment horizontal="left" shrinkToFit="0" vertical="bottom" wrapText="0"/>
    </xf>
    <xf borderId="1" fillId="12" fontId="8" numFmtId="0" xfId="0" applyAlignment="1" applyBorder="1" applyFont="1">
      <alignment horizontal="left" readingOrder="0"/>
    </xf>
    <xf borderId="1" fillId="12" fontId="8" numFmtId="165" xfId="0" applyAlignment="1" applyBorder="1" applyFont="1" applyNumberFormat="1">
      <alignment horizontal="right" readingOrder="0" shrinkToFit="0" wrapText="0"/>
    </xf>
    <xf borderId="1" fillId="12" fontId="8" numFmtId="0" xfId="0" applyAlignment="1" applyBorder="1" applyFont="1">
      <alignment horizontal="right" readingOrder="0" shrinkToFit="0" wrapText="0"/>
    </xf>
    <xf borderId="1" fillId="12" fontId="3" numFmtId="0" xfId="0" applyAlignment="1" applyBorder="1" applyFont="1">
      <alignment readingOrder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right"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left" readingOrder="0" shrinkToFit="0" vertical="bottom" wrapText="1"/>
    </xf>
    <xf borderId="1" fillId="2" fontId="8" numFmtId="165" xfId="0" applyAlignment="1" applyBorder="1" applyFont="1" applyNumberFormat="1">
      <alignment horizontal="right" readingOrder="0" shrinkToFit="0" wrapText="0"/>
    </xf>
    <xf borderId="1" fillId="2" fontId="6" numFmtId="0" xfId="0" applyAlignment="1" applyBorder="1" applyFont="1">
      <alignment horizontal="right" readingOrder="0"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1" fillId="2" fontId="3" numFmtId="0" xfId="0" applyBorder="1" applyFont="1"/>
    <xf borderId="1" fillId="2" fontId="6" numFmtId="165" xfId="0" applyAlignment="1" applyBorder="1" applyFont="1" applyNumberFormat="1">
      <alignment horizontal="right" readingOrder="0" shrinkToFit="0" vertical="bottom" wrapText="0"/>
    </xf>
    <xf borderId="1" fillId="2" fontId="7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right" readingOrder="0" shrinkToFit="0" wrapText="0"/>
    </xf>
    <xf borderId="0" fillId="2" fontId="3" numFmtId="0" xfId="0" applyFont="1"/>
    <xf borderId="1" fillId="2" fontId="3" numFmtId="0" xfId="0" applyAlignment="1" applyBorder="1" applyFont="1">
      <alignment readingOrder="0"/>
    </xf>
    <xf borderId="0" fillId="10" fontId="2" numFmtId="0" xfId="0" applyAlignment="1" applyFont="1">
      <alignment readingOrder="0"/>
    </xf>
    <xf borderId="0" fillId="10" fontId="10" numFmtId="0" xfId="0" applyFont="1"/>
    <xf borderId="0" fillId="1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1.13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 t="s">
        <v>48</v>
      </c>
      <c r="C60" s="43">
        <v>46069.0</v>
      </c>
      <c r="D60" s="44">
        <v>3.5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 t="s">
        <v>49</v>
      </c>
      <c r="C61" s="43">
        <v>46069.0</v>
      </c>
      <c r="D61" s="44">
        <v>2.5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5"/>
      <c r="B63" s="46" t="s">
        <v>15</v>
      </c>
      <c r="C63" s="47"/>
      <c r="D63" s="41">
        <f>sum(D58:D61)</f>
        <v>11.9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8" t="s">
        <v>50</v>
      </c>
      <c r="B66" s="48" t="s">
        <v>1</v>
      </c>
      <c r="C66" s="48" t="s">
        <v>2</v>
      </c>
      <c r="D66" s="48" t="s">
        <v>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9"/>
      <c r="B67" s="50" t="s">
        <v>51</v>
      </c>
      <c r="C67" s="51">
        <v>46073.0</v>
      </c>
      <c r="D67" s="52">
        <v>1.75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9"/>
      <c r="B68" s="50" t="s">
        <v>52</v>
      </c>
      <c r="C68" s="51">
        <v>46074.0</v>
      </c>
      <c r="D68" s="52">
        <v>2.0</v>
      </c>
      <c r="E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9"/>
      <c r="B69" s="50" t="s">
        <v>53</v>
      </c>
      <c r="C69" s="51">
        <v>46075.0</v>
      </c>
      <c r="D69" s="52">
        <v>0.25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9"/>
      <c r="B70" s="50" t="s">
        <v>54</v>
      </c>
      <c r="C70" s="51">
        <v>46076.0</v>
      </c>
      <c r="D70" s="52">
        <v>1.75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9"/>
      <c r="B71" s="53" t="s">
        <v>55</v>
      </c>
      <c r="C71" s="51">
        <v>46076.0</v>
      </c>
      <c r="D71" s="52">
        <v>3.75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54"/>
      <c r="B73" s="55" t="s">
        <v>15</v>
      </c>
      <c r="C73" s="56"/>
      <c r="D73" s="49">
        <f>sum(D67:D71)</f>
        <v>9.5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57" t="s">
        <v>56</v>
      </c>
      <c r="B76" s="57" t="s">
        <v>1</v>
      </c>
      <c r="C76" s="57" t="s">
        <v>2</v>
      </c>
      <c r="D76" s="57" t="s">
        <v>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58"/>
      <c r="B77" s="59" t="s">
        <v>57</v>
      </c>
      <c r="C77" s="60">
        <v>46080.0</v>
      </c>
      <c r="D77" s="61">
        <v>3.75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58"/>
      <c r="B78" s="62" t="s">
        <v>58</v>
      </c>
      <c r="C78" s="60">
        <v>46081.0</v>
      </c>
      <c r="D78" s="61">
        <v>1.75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58"/>
      <c r="B79" s="62" t="s">
        <v>59</v>
      </c>
      <c r="C79" s="60">
        <v>46081.0</v>
      </c>
      <c r="D79" s="61">
        <v>2.15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58"/>
      <c r="B80" s="62" t="s">
        <v>60</v>
      </c>
      <c r="C80" s="60">
        <v>46081.0</v>
      </c>
      <c r="D80" s="61">
        <v>0.45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58"/>
      <c r="B81" s="59" t="s">
        <v>61</v>
      </c>
      <c r="C81" s="60">
        <v>46082.0</v>
      </c>
      <c r="D81" s="61">
        <v>2.5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63"/>
      <c r="B82" s="64" t="s">
        <v>62</v>
      </c>
      <c r="C82" s="60">
        <v>46083.0</v>
      </c>
      <c r="D82" s="65">
        <v>3.75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3"/>
      <c r="B83" s="64" t="s">
        <v>63</v>
      </c>
      <c r="C83" s="60">
        <v>46085.0</v>
      </c>
      <c r="D83" s="65">
        <v>0.75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3"/>
      <c r="B84" s="64" t="s">
        <v>64</v>
      </c>
      <c r="C84" s="60">
        <v>46085.0</v>
      </c>
      <c r="D84" s="65">
        <v>0.25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3"/>
      <c r="B85" s="64" t="s">
        <v>65</v>
      </c>
      <c r="C85" s="60">
        <v>46085.0</v>
      </c>
      <c r="D85" s="65">
        <v>0.5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6"/>
      <c r="B86" s="66"/>
      <c r="C86" s="66"/>
      <c r="D86" s="6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7"/>
      <c r="B87" s="68" t="s">
        <v>15</v>
      </c>
      <c r="C87" s="69"/>
      <c r="D87" s="58">
        <f>sum(D77:D82)</f>
        <v>14.35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0" t="s">
        <v>66</v>
      </c>
      <c r="B90" s="40" t="s">
        <v>1</v>
      </c>
      <c r="C90" s="40" t="s">
        <v>2</v>
      </c>
      <c r="D90" s="40" t="s">
        <v>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1"/>
      <c r="B91" s="70" t="s">
        <v>67</v>
      </c>
      <c r="C91" s="71">
        <v>46087.0</v>
      </c>
      <c r="D91" s="44">
        <v>1.75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1"/>
      <c r="B92" s="72" t="s">
        <v>68</v>
      </c>
      <c r="C92" s="71">
        <v>46087.0</v>
      </c>
      <c r="D92" s="44">
        <v>2.5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1"/>
      <c r="B93" s="72" t="s">
        <v>69</v>
      </c>
      <c r="C93" s="73">
        <v>46087.0</v>
      </c>
      <c r="D93" s="44">
        <v>2.15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1"/>
      <c r="B94" s="72" t="s">
        <v>70</v>
      </c>
      <c r="C94" s="73">
        <v>46087.0</v>
      </c>
      <c r="D94" s="44">
        <v>2.75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1"/>
      <c r="B95" s="70" t="s">
        <v>71</v>
      </c>
      <c r="C95" s="73">
        <v>46088.0</v>
      </c>
      <c r="D95" s="44">
        <v>2.0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74"/>
      <c r="B96" s="70" t="s">
        <v>72</v>
      </c>
      <c r="C96" s="73">
        <v>46088.0</v>
      </c>
      <c r="D96" s="75">
        <v>1.75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74"/>
      <c r="B97" s="70" t="s">
        <v>73</v>
      </c>
      <c r="C97" s="73">
        <v>46088.0</v>
      </c>
      <c r="D97" s="75">
        <v>1.15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74"/>
      <c r="B98" s="70" t="s">
        <v>74</v>
      </c>
      <c r="C98" s="73">
        <v>46088.0</v>
      </c>
      <c r="D98" s="75">
        <v>0.75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74"/>
      <c r="B99" s="76" t="s">
        <v>75</v>
      </c>
      <c r="C99" s="73">
        <v>46089.0</v>
      </c>
      <c r="D99" s="75">
        <v>3.75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74"/>
      <c r="B100" s="76" t="s">
        <v>76</v>
      </c>
      <c r="C100" s="73">
        <v>46089.0</v>
      </c>
      <c r="D100" s="75">
        <v>4.15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5"/>
      <c r="B101" s="72" t="s">
        <v>77</v>
      </c>
      <c r="C101" s="73">
        <v>46090.0</v>
      </c>
      <c r="D101" s="77">
        <v>2.25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5"/>
      <c r="B102" s="72" t="s">
        <v>78</v>
      </c>
      <c r="C102" s="73">
        <v>46090.0</v>
      </c>
      <c r="D102" s="77">
        <v>1.75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5"/>
      <c r="B103" s="72" t="s">
        <v>79</v>
      </c>
      <c r="C103" s="73">
        <v>46090.0</v>
      </c>
      <c r="D103" s="77">
        <v>1.0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5"/>
      <c r="B104" s="46" t="s">
        <v>80</v>
      </c>
      <c r="C104" s="73">
        <v>46092.0</v>
      </c>
      <c r="D104" s="77">
        <v>1.75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5"/>
      <c r="B105" s="46" t="s">
        <v>15</v>
      </c>
      <c r="C105" s="47"/>
      <c r="D105" s="41">
        <f>sum(D91:D104)</f>
        <v>29.45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78" t="s">
        <v>81</v>
      </c>
      <c r="B108" s="78" t="s">
        <v>1</v>
      </c>
      <c r="C108" s="79" t="s">
        <v>2</v>
      </c>
      <c r="D108" s="79" t="s">
        <v>3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80"/>
      <c r="B109" s="81" t="s">
        <v>82</v>
      </c>
      <c r="C109" s="82">
        <v>46093.0</v>
      </c>
      <c r="D109" s="83">
        <v>2.75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80"/>
      <c r="B110" s="84" t="s">
        <v>83</v>
      </c>
      <c r="C110" s="82">
        <v>46094.0</v>
      </c>
      <c r="D110" s="83">
        <v>1.75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80"/>
      <c r="B111" s="84" t="s">
        <v>84</v>
      </c>
      <c r="C111" s="82">
        <v>46094.0</v>
      </c>
      <c r="D111" s="83">
        <v>2.75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80"/>
      <c r="B112" s="85" t="s">
        <v>85</v>
      </c>
      <c r="C112" s="86">
        <v>46094.0</v>
      </c>
      <c r="D112" s="87">
        <v>1.5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80"/>
      <c r="B113" s="85" t="s">
        <v>86</v>
      </c>
      <c r="C113" s="86">
        <v>46096.0</v>
      </c>
      <c r="D113" s="87">
        <v>1.5</v>
      </c>
      <c r="E113" s="8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89"/>
      <c r="B114" s="85" t="s">
        <v>87</v>
      </c>
      <c r="C114" s="86">
        <v>46096.0</v>
      </c>
      <c r="D114" s="87">
        <v>2.0</v>
      </c>
      <c r="E114" s="8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89"/>
      <c r="B115" s="85" t="s">
        <v>88</v>
      </c>
      <c r="C115" s="86">
        <v>46096.0</v>
      </c>
      <c r="D115" s="87">
        <v>1.75</v>
      </c>
      <c r="E115" s="8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89"/>
      <c r="B116" s="85" t="s">
        <v>89</v>
      </c>
      <c r="C116" s="86">
        <v>46096.0</v>
      </c>
      <c r="D116" s="87">
        <v>1.25</v>
      </c>
      <c r="E116" s="8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89"/>
      <c r="B117" s="85" t="s">
        <v>90</v>
      </c>
      <c r="C117" s="86">
        <v>46096.0</v>
      </c>
      <c r="D117" s="87">
        <v>1.5</v>
      </c>
      <c r="E117" s="8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89"/>
      <c r="B118" s="85" t="s">
        <v>91</v>
      </c>
      <c r="C118" s="86">
        <v>46096.0</v>
      </c>
      <c r="D118" s="87">
        <v>1.0</v>
      </c>
      <c r="E118" s="8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90"/>
      <c r="B119" s="91" t="s">
        <v>92</v>
      </c>
      <c r="C119" s="92">
        <v>46097.0</v>
      </c>
      <c r="D119" s="93">
        <v>1.25</v>
      </c>
      <c r="E119" s="8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90"/>
      <c r="B120" s="91" t="s">
        <v>93</v>
      </c>
      <c r="C120" s="92">
        <v>46097.0</v>
      </c>
      <c r="D120" s="93">
        <v>2.0</v>
      </c>
      <c r="E120" s="8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90"/>
      <c r="B121" s="91" t="s">
        <v>94</v>
      </c>
      <c r="C121" s="92">
        <v>46097.0</v>
      </c>
      <c r="D121" s="93">
        <v>0.75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90"/>
      <c r="B122" s="91" t="s">
        <v>95</v>
      </c>
      <c r="C122" s="92">
        <v>46097.0</v>
      </c>
      <c r="D122" s="93">
        <v>0.5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90"/>
      <c r="B123" s="91" t="s">
        <v>96</v>
      </c>
      <c r="C123" s="92">
        <v>46097.0</v>
      </c>
      <c r="D123" s="93">
        <v>1.25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89"/>
      <c r="B124" s="91"/>
      <c r="C124" s="92"/>
      <c r="D124" s="9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89"/>
      <c r="B125" s="91"/>
      <c r="C125" s="92"/>
      <c r="D125" s="9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89"/>
      <c r="B127" s="89"/>
      <c r="C127" s="94" t="s">
        <v>15</v>
      </c>
      <c r="D127" s="89">
        <f>(sum(D109:D125))</f>
        <v>23.5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95" t="s">
        <v>97</v>
      </c>
      <c r="B130" s="95" t="s">
        <v>1</v>
      </c>
      <c r="C130" s="96" t="s">
        <v>2</v>
      </c>
      <c r="D130" s="96" t="s">
        <v>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97"/>
      <c r="B131" s="98" t="s">
        <v>98</v>
      </c>
      <c r="C131" s="99">
        <v>46101.0</v>
      </c>
      <c r="D131" s="100">
        <v>1.5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97"/>
      <c r="B132" s="101" t="s">
        <v>99</v>
      </c>
      <c r="C132" s="99">
        <v>46101.0</v>
      </c>
      <c r="D132" s="100">
        <v>1.25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97"/>
      <c r="B133" s="101" t="s">
        <v>100</v>
      </c>
      <c r="C133" s="99">
        <v>46101.0</v>
      </c>
      <c r="D133" s="100">
        <v>1.0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97"/>
      <c r="B134" s="101" t="s">
        <v>101</v>
      </c>
      <c r="C134" s="99">
        <v>46101.0</v>
      </c>
      <c r="D134" s="100">
        <v>1.25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97"/>
      <c r="B135" s="101" t="s">
        <v>102</v>
      </c>
      <c r="C135" s="99">
        <v>46101.0</v>
      </c>
      <c r="D135" s="100">
        <v>1.0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02"/>
      <c r="B136" s="101" t="s">
        <v>103</v>
      </c>
      <c r="C136" s="99">
        <v>46101.0</v>
      </c>
      <c r="D136" s="100">
        <v>1.0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02"/>
      <c r="B137" s="101" t="s">
        <v>104</v>
      </c>
      <c r="C137" s="99">
        <v>46101.0</v>
      </c>
      <c r="D137" s="100">
        <v>1.5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02"/>
      <c r="B138" s="101"/>
      <c r="C138" s="103"/>
      <c r="D138" s="10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02"/>
      <c r="B139" s="101"/>
      <c r="C139" s="103"/>
      <c r="D139" s="10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02"/>
      <c r="B140" s="101"/>
      <c r="C140" s="103"/>
      <c r="D140" s="10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04"/>
      <c r="B141" s="105"/>
      <c r="C141" s="99"/>
      <c r="D141" s="10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04"/>
      <c r="B142" s="105"/>
      <c r="C142" s="99"/>
      <c r="D142" s="10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04"/>
      <c r="B143" s="105"/>
      <c r="C143" s="99"/>
      <c r="D143" s="10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04"/>
      <c r="B144" s="105"/>
      <c r="C144" s="99"/>
      <c r="D144" s="10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04"/>
      <c r="B145" s="105"/>
      <c r="C145" s="99"/>
      <c r="D145" s="10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02"/>
      <c r="B146" s="105"/>
      <c r="C146" s="99"/>
      <c r="D146" s="10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02"/>
      <c r="B147" s="105"/>
      <c r="C147" s="99"/>
      <c r="D147" s="10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07"/>
      <c r="B148" s="107"/>
      <c r="C148" s="107"/>
      <c r="D148" s="10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02"/>
      <c r="B149" s="102"/>
      <c r="C149" s="108" t="s">
        <v>15</v>
      </c>
      <c r="D149" s="102">
        <f>(sum(D131:D147))</f>
        <v>8.5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09" t="s">
        <v>105</v>
      </c>
      <c r="B153" s="110"/>
      <c r="C153" s="110"/>
      <c r="D153" s="111">
        <f>sum(D14,D34,D44,D54,D63,D73,D87,D105,D123)</f>
        <v>169.1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</sheetData>
  <drawing r:id="rId1"/>
</worksheet>
</file>