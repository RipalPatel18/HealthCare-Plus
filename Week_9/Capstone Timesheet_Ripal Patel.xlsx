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-5310- Capstone_Timesheet" sheetId="1" r:id="rId5"/>
  </sheets>
  <definedNames/>
  <calcPr/>
</workbook>
</file>

<file path=xl/sharedStrings.xml><?xml version="1.0" encoding="utf-8"?>
<sst xmlns="http://schemas.openxmlformats.org/spreadsheetml/2006/main" count="116" uniqueCount="84">
  <si>
    <t>Week_1</t>
  </si>
  <si>
    <t>Activities</t>
  </si>
  <si>
    <t>Date</t>
  </si>
  <si>
    <t>Time (hrs)</t>
  </si>
  <si>
    <t>Kickoff Meeting/Introduction</t>
  </si>
  <si>
    <t>Meeting with Bernie</t>
  </si>
  <si>
    <t>Tech Stack choices</t>
  </si>
  <si>
    <t>Create Github Repo + ReadMe file</t>
  </si>
  <si>
    <t>Work on website Theme</t>
  </si>
  <si>
    <t>Finalize Theme + colors + typography</t>
  </si>
  <si>
    <t>Requirements Document</t>
  </si>
  <si>
    <t>Timeline</t>
  </si>
  <si>
    <t>Technical Barriers Assessment Doc file</t>
  </si>
  <si>
    <t>Work on User Stories</t>
  </si>
  <si>
    <t>Create Basic Wireframes for all the pages</t>
  </si>
  <si>
    <t>Total</t>
  </si>
  <si>
    <t>Week_2</t>
  </si>
  <si>
    <t>Review wireframe feedback</t>
  </si>
  <si>
    <t>Update wireframes</t>
  </si>
  <si>
    <t>Finalize wireframes</t>
  </si>
  <si>
    <t>Update feature list</t>
  </si>
  <si>
    <t>Organize feature priorities</t>
  </si>
  <si>
    <t>Review course critical path</t>
  </si>
  <si>
    <t>Create project milestones</t>
  </si>
  <si>
    <t>Finalize project timeline</t>
  </si>
  <si>
    <t>Identify technical risks</t>
  </si>
  <si>
    <t>Identify content risks</t>
  </si>
  <si>
    <t>Write mitigation strategies</t>
  </si>
  <si>
    <t>Define UX goals</t>
  </si>
  <si>
    <t>Accessibility research (WCAG/AODA)</t>
  </si>
  <si>
    <t>Document accessibility considerations</t>
  </si>
  <si>
    <t>Documentation cleanup</t>
  </si>
  <si>
    <t>Start Working on Figma</t>
  </si>
  <si>
    <t>Week_3</t>
  </si>
  <si>
    <t>Wireframe in Figma (Hospital Logo Design)</t>
  </si>
  <si>
    <t>Wireframe in Figma (Hospital NavBar set up)</t>
  </si>
  <si>
    <t>Wireframe in Figma (Hospital NavBar, Hero Section, specialties)</t>
  </si>
  <si>
    <t>Wireframe in Figma (Add Doctor section and deatils)</t>
  </si>
  <si>
    <t>Wireframe in Figma (Home page - created)</t>
  </si>
  <si>
    <t>Week_4</t>
  </si>
  <si>
    <t>Wireframe in Figma Lo-fi prototype (Home, Login, Register, Services)</t>
  </si>
  <si>
    <t>Creat pages find doctors, book appointment, doctor pages</t>
  </si>
  <si>
    <t>Prototyping pages</t>
  </si>
  <si>
    <t>Add pages for patient, Doctors</t>
  </si>
  <si>
    <t>Add pages for Admin</t>
  </si>
  <si>
    <t>Week_5</t>
  </si>
  <si>
    <t>Add new pages (Staff view, Contact us)</t>
  </si>
  <si>
    <t>Wireframe in Figma Prototyping) (Public Pages)</t>
  </si>
  <si>
    <t>Wire frame Prototyping (All pages)</t>
  </si>
  <si>
    <t>Revised Requirment document file</t>
  </si>
  <si>
    <t>Week_6</t>
  </si>
  <si>
    <t>Figma User Testing (for 2 Users)</t>
  </si>
  <si>
    <t>Figma User Testing (for 3 Users)</t>
  </si>
  <si>
    <t>Mentor Draft Email</t>
  </si>
  <si>
    <t>Mentor Checklist</t>
  </si>
  <si>
    <t>set up the Laravel project, connected the database, installed the login/register system, added user roles (patient, doctor, admin), created role-based dashboard routes, and worked on debugging the login/session issue.</t>
  </si>
  <si>
    <t>Week_7</t>
  </si>
  <si>
    <t>Worked on homepage UI improvements including navbar hover effects, updated Register button to primary blue, refined hero section layout and styling, adjusted text colors, and improved overall visual clarity.</t>
  </si>
  <si>
    <t>Completed Home page (Hero section)</t>
  </si>
  <si>
    <t>Completed Home page (Services section)</t>
  </si>
  <si>
    <t>Completed Home page (Footer section)</t>
  </si>
  <si>
    <t>Revised User Testing Report</t>
  </si>
  <si>
    <t>Add Doctors Pages</t>
  </si>
  <si>
    <t>Mentor Meeting</t>
  </si>
  <si>
    <t>Mentor Meeting Thank you email</t>
  </si>
  <si>
    <t>Mentor meeting Notes for Bernie</t>
  </si>
  <si>
    <t>Week_8</t>
  </si>
  <si>
    <t>Create Admin Dashboard UI</t>
  </si>
  <si>
    <t>Create Admin Appoitment Page UI</t>
  </si>
  <si>
    <t>Create Admin Profile UI</t>
  </si>
  <si>
    <t>Create Health Record UI</t>
  </si>
  <si>
    <t>Create Find-Dotcor Page UI</t>
  </si>
  <si>
    <t>Create Services Page UI</t>
  </si>
  <si>
    <t>Create Book-appointment Form UI</t>
  </si>
  <si>
    <t>Create Contact US Page UI</t>
  </si>
  <si>
    <t>Solve Error for find doctor Page + create Doctor Profile pages for 5 Doctors</t>
  </si>
  <si>
    <t>Services Page UI Connect with Services page and department pages (Controller + model)</t>
  </si>
  <si>
    <t>Implement Book Appointment Form functionality (Controller + Model + Route)</t>
  </si>
  <si>
    <t>Create Appointments Database Table and connect form to MySQL</t>
  </si>
  <si>
    <t>Improve Book Appointment UI and form validation</t>
  </si>
  <si>
    <t>Modified some Css &amp; Page in Portfolio</t>
  </si>
  <si>
    <t>Week_9</t>
  </si>
  <si>
    <t>Connected patient dashboard with database to display upcoming and recent appointments dynamically.</t>
  </si>
  <si>
    <t>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</si>
</sst>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-mmm"/>
  </numFmts>
  <fonts count="10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4.0"/>
      <color theme="1"/>
      <name val="Arial"/>
    </font>
    <font>
      <sz val="14.0"/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FFFFFF"/>
      <name val="Arial"/>
    </font>
    <font>
      <sz val="12.0"/>
      <color theme="1"/>
      <name val="Arial"/>
    </font>
    <font>
      <sz val="14.0"/>
      <color theme="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E1D5"/>
        <bgColor rgb="FFFFE1D5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7EFF6"/>
        <bgColor rgb="FFC7EFF6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Font="1"/>
    <xf borderId="1" fillId="2" fontId="2" numFmtId="0" xfId="0" applyAlignment="1" applyBorder="1" applyFont="1">
      <alignment horizontal="left" readingOrder="0" shrinkToFit="0" vertical="bottom" wrapText="0"/>
    </xf>
    <xf borderId="1" fillId="2" fontId="2" numFmtId="164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 readingOrder="0"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1" fillId="4" fontId="1" numFmtId="0" xfId="0" applyAlignment="1" applyBorder="1" applyFill="1" applyFont="1">
      <alignment horizontal="center" readingOrder="0"/>
    </xf>
    <xf borderId="1" fillId="4" fontId="2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3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2" numFmtId="0" xfId="0" applyAlignment="1" applyBorder="1" applyFont="1">
      <alignment readingOrder="0" shrinkToFit="0" vertical="bottom" wrapText="0"/>
    </xf>
    <xf borderId="1" fillId="4" fontId="2" numFmtId="165" xfId="0" applyAlignment="1" applyBorder="1" applyFont="1" applyNumberFormat="1">
      <alignment horizontal="right" readingOrder="0" shrinkToFit="0" vertical="bottom" wrapText="0"/>
    </xf>
    <xf borderId="1" fillId="4" fontId="2" numFmtId="0" xfId="0" applyAlignment="1" applyBorder="1" applyFont="1">
      <alignment horizontal="right" readingOrder="0" shrinkToFit="0" vertical="bottom" wrapText="0"/>
    </xf>
    <xf borderId="1" fillId="5" fontId="4" numFmtId="0" xfId="0" applyAlignment="1" applyBorder="1" applyFill="1" applyFont="1">
      <alignment horizontal="left" readingOrder="0" shrinkToFit="0" vertical="bottom" wrapText="0"/>
    </xf>
    <xf borderId="1" fillId="5" fontId="4" numFmtId="0" xfId="0" applyAlignment="1" applyBorder="1" applyFont="1">
      <alignment horizontal="left" shrinkToFit="0" vertical="bottom" wrapText="0"/>
    </xf>
    <xf borderId="1" fillId="6" fontId="5" numFmtId="0" xfId="0" applyAlignment="1" applyBorder="1" applyFill="1" applyFont="1">
      <alignment horizontal="center" readingOrder="0" shrinkToFit="0" vertical="bottom" wrapText="0"/>
    </xf>
    <xf borderId="1" fillId="6" fontId="2" numFmtId="0" xfId="0" applyAlignment="1" applyBorder="1" applyFont="1">
      <alignment shrinkToFit="0" vertical="bottom" wrapText="0"/>
    </xf>
    <xf borderId="1" fillId="6" fontId="6" numFmtId="0" xfId="0" applyAlignment="1" applyBorder="1" applyFont="1">
      <alignment readingOrder="0" shrinkToFit="0" vertical="bottom" wrapText="0"/>
    </xf>
    <xf borderId="2" fillId="6" fontId="6" numFmtId="165" xfId="0" applyAlignment="1" applyBorder="1" applyFont="1" applyNumberFormat="1">
      <alignment horizontal="right" readingOrder="0" shrinkToFit="0" vertical="bottom" wrapText="0"/>
    </xf>
    <xf borderId="1" fillId="6" fontId="2" numFmtId="0" xfId="0" applyAlignment="1" applyBorder="1" applyFont="1">
      <alignment horizontal="right" readingOrder="0" shrinkToFit="0" vertical="bottom" wrapText="0"/>
    </xf>
    <xf borderId="1" fillId="6" fontId="7" numFmtId="0" xfId="0" applyAlignment="1" applyBorder="1" applyFont="1">
      <alignment horizontal="left" shrinkToFit="0" vertical="bottom" wrapText="0"/>
    </xf>
    <xf borderId="1" fillId="6" fontId="8" numFmtId="0" xfId="0" applyAlignment="1" applyBorder="1" applyFont="1">
      <alignment horizontal="left" readingOrder="0" shrinkToFit="0" vertical="bottom" wrapText="0"/>
    </xf>
    <xf borderId="1" fillId="6" fontId="8" numFmtId="0" xfId="0" applyAlignment="1" applyBorder="1" applyFont="1">
      <alignment horizontal="left" shrinkToFit="0" vertical="bottom" wrapText="0"/>
    </xf>
    <xf borderId="1" fillId="7" fontId="5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ont="1">
      <alignment shrinkToFit="0" vertical="bottom" wrapText="0"/>
    </xf>
    <xf borderId="1" fillId="7" fontId="6" numFmtId="0" xfId="0" applyAlignment="1" applyBorder="1" applyFont="1">
      <alignment readingOrder="0" shrinkToFit="0" vertical="bottom" wrapText="0"/>
    </xf>
    <xf borderId="2" fillId="7" fontId="6" numFmtId="165" xfId="0" applyAlignment="1" applyBorder="1" applyFont="1" applyNumberFormat="1">
      <alignment horizontal="right" readingOrder="0" shrinkToFit="0" vertical="bottom" wrapText="0"/>
    </xf>
    <xf borderId="1" fillId="7" fontId="2" numFmtId="0" xfId="0" applyAlignment="1" applyBorder="1" applyFont="1">
      <alignment horizontal="right" readingOrder="0" shrinkToFit="0" vertical="bottom" wrapText="0"/>
    </xf>
    <xf borderId="1" fillId="8" fontId="7" numFmtId="0" xfId="0" applyAlignment="1" applyBorder="1" applyFill="1" applyFont="1">
      <alignment horizontal="left" shrinkToFit="0" vertical="bottom" wrapText="0"/>
    </xf>
    <xf borderId="1" fillId="8" fontId="8" numFmtId="0" xfId="0" applyAlignment="1" applyBorder="1" applyFont="1">
      <alignment horizontal="left" readingOrder="0" shrinkToFit="0" vertical="bottom" wrapText="0"/>
    </xf>
    <xf borderId="1" fillId="8" fontId="8" numFmtId="0" xfId="0" applyAlignment="1" applyBorder="1" applyFont="1">
      <alignment horizontal="left" shrinkToFit="0" vertical="bottom" wrapText="0"/>
    </xf>
    <xf borderId="1" fillId="8" fontId="2" numFmtId="0" xfId="0" applyAlignment="1" applyBorder="1" applyFont="1">
      <alignment shrinkToFit="0" vertical="bottom" wrapText="0"/>
    </xf>
    <xf borderId="1" fillId="9" fontId="5" numFmtId="0" xfId="0" applyAlignment="1" applyBorder="1" applyFill="1" applyFont="1">
      <alignment horizontal="center" readingOrder="0" shrinkToFit="0" vertical="bottom" wrapText="0"/>
    </xf>
    <xf borderId="1" fillId="9" fontId="2" numFmtId="0" xfId="0" applyAlignment="1" applyBorder="1" applyFont="1">
      <alignment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2" fillId="9" fontId="6" numFmtId="165" xfId="0" applyAlignment="1" applyBorder="1" applyFont="1" applyNumberFormat="1">
      <alignment horizontal="right" readingOrder="0" shrinkToFit="0" vertical="bottom" wrapText="0"/>
    </xf>
    <xf borderId="1" fillId="9" fontId="2" numFmtId="0" xfId="0" applyAlignment="1" applyBorder="1" applyFont="1">
      <alignment horizontal="right" readingOrder="0" shrinkToFit="0" vertical="bottom" wrapText="0"/>
    </xf>
    <xf borderId="1" fillId="9" fontId="7" numFmtId="0" xfId="0" applyAlignment="1" applyBorder="1" applyFont="1">
      <alignment horizontal="left" shrinkToFit="0" vertical="bottom" wrapText="0"/>
    </xf>
    <xf borderId="1" fillId="9" fontId="8" numFmtId="0" xfId="0" applyAlignment="1" applyBorder="1" applyFont="1">
      <alignment horizontal="left" readingOrder="0" shrinkToFit="0" vertical="bottom" wrapText="0"/>
    </xf>
    <xf borderId="1" fillId="9" fontId="8" numFmtId="0" xfId="0" applyAlignment="1" applyBorder="1" applyFont="1">
      <alignment horizontal="left" shrinkToFit="0" vertical="bottom" wrapText="0"/>
    </xf>
    <xf borderId="1" fillId="10" fontId="5" numFmtId="0" xfId="0" applyAlignment="1" applyBorder="1" applyFill="1" applyFont="1">
      <alignment horizontal="center" readingOrder="0" shrinkToFit="0" vertical="bottom" wrapText="0"/>
    </xf>
    <xf borderId="1" fillId="10" fontId="2" numFmtId="0" xfId="0" applyAlignment="1" applyBorder="1" applyFont="1">
      <alignment shrinkToFit="0" vertical="bottom" wrapText="0"/>
    </xf>
    <xf borderId="1" fillId="10" fontId="6" numFmtId="0" xfId="0" applyAlignment="1" applyBorder="1" applyFont="1">
      <alignment readingOrder="0" shrinkToFit="0" vertical="bottom" wrapText="0"/>
    </xf>
    <xf borderId="1" fillId="10" fontId="6" numFmtId="165" xfId="0" applyAlignment="1" applyBorder="1" applyFont="1" applyNumberFormat="1">
      <alignment horizontal="right" readingOrder="0" shrinkToFit="0" vertical="bottom" wrapText="0"/>
    </xf>
    <xf borderId="1" fillId="10" fontId="2" numFmtId="0" xfId="0" applyAlignment="1" applyBorder="1" applyFont="1">
      <alignment horizontal="right" readingOrder="0" shrinkToFit="0" vertical="bottom" wrapText="0"/>
    </xf>
    <xf borderId="1" fillId="10" fontId="6" numFmtId="0" xfId="0" applyAlignment="1" applyBorder="1" applyFont="1">
      <alignment readingOrder="0" shrinkToFit="0" vertical="bottom" wrapText="1"/>
    </xf>
    <xf borderId="1" fillId="10" fontId="7" numFmtId="0" xfId="0" applyAlignment="1" applyBorder="1" applyFont="1">
      <alignment horizontal="left" shrinkToFit="0" vertical="bottom" wrapText="0"/>
    </xf>
    <xf borderId="1" fillId="10" fontId="8" numFmtId="0" xfId="0" applyAlignment="1" applyBorder="1" applyFont="1">
      <alignment horizontal="left" readingOrder="0" shrinkToFit="0" vertical="bottom" wrapText="0"/>
    </xf>
    <xf borderId="1" fillId="10" fontId="8" numFmtId="0" xfId="0" applyAlignment="1" applyBorder="1" applyFont="1">
      <alignment horizontal="left" shrinkToFit="0" vertical="bottom" wrapText="0"/>
    </xf>
    <xf borderId="1" fillId="11" fontId="5" numFmtId="0" xfId="0" applyAlignment="1" applyBorder="1" applyFill="1" applyFont="1">
      <alignment horizontal="center" readingOrder="0" shrinkToFit="0" vertical="bottom" wrapText="0"/>
    </xf>
    <xf borderId="1" fillId="11" fontId="2" numFmtId="0" xfId="0" applyAlignment="1" applyBorder="1" applyFont="1">
      <alignment shrinkToFit="0" vertical="bottom" wrapText="0"/>
    </xf>
    <xf borderId="1" fillId="11" fontId="6" numFmtId="0" xfId="0" applyAlignment="1" applyBorder="1" applyFont="1">
      <alignment readingOrder="0" shrinkToFit="0" vertical="bottom" wrapText="1"/>
    </xf>
    <xf borderId="1" fillId="11" fontId="6" numFmtId="165" xfId="0" applyAlignment="1" applyBorder="1" applyFont="1" applyNumberFormat="1">
      <alignment horizontal="right" readingOrder="0" shrinkToFit="0" vertical="bottom" wrapText="0"/>
    </xf>
    <xf borderId="1" fillId="11" fontId="2" numFmtId="0" xfId="0" applyAlignment="1" applyBorder="1" applyFont="1">
      <alignment horizontal="right" readingOrder="0" shrinkToFit="0" vertical="bottom" wrapText="0"/>
    </xf>
    <xf borderId="1" fillId="11" fontId="6" numFmtId="0" xfId="0" applyAlignment="1" applyBorder="1" applyFont="1">
      <alignment readingOrder="0" shrinkToFit="0" vertical="bottom" wrapText="0"/>
    </xf>
    <xf borderId="1" fillId="11" fontId="3" numFmtId="0" xfId="0" applyBorder="1" applyFont="1"/>
    <xf borderId="1" fillId="11" fontId="8" numFmtId="0" xfId="0" applyAlignment="1" applyBorder="1" applyFont="1">
      <alignment readingOrder="0"/>
    </xf>
    <xf borderId="1" fillId="11" fontId="3" numFmtId="0" xfId="0" applyAlignment="1" applyBorder="1" applyFont="1">
      <alignment readingOrder="0"/>
    </xf>
    <xf borderId="0" fillId="11" fontId="3" numFmtId="0" xfId="0" applyFont="1"/>
    <xf borderId="1" fillId="11" fontId="7" numFmtId="0" xfId="0" applyAlignment="1" applyBorder="1" applyFont="1">
      <alignment horizontal="left" shrinkToFit="0" vertical="bottom" wrapText="0"/>
    </xf>
    <xf borderId="1" fillId="11" fontId="8" numFmtId="0" xfId="0" applyAlignment="1" applyBorder="1" applyFont="1">
      <alignment horizontal="left" readingOrder="0" shrinkToFit="0" vertical="bottom" wrapText="0"/>
    </xf>
    <xf borderId="1" fillId="11" fontId="8" numFmtId="0" xfId="0" applyAlignment="1" applyBorder="1" applyFont="1">
      <alignment horizontal="left" shrinkToFit="0" vertical="bottom" wrapText="0"/>
    </xf>
    <xf borderId="1" fillId="9" fontId="6" numFmtId="0" xfId="0" applyAlignment="1" applyBorder="1" applyFont="1">
      <alignment readingOrder="0" shrinkToFit="0" vertical="bottom" wrapText="1"/>
    </xf>
    <xf borderId="1" fillId="9" fontId="6" numFmtId="165" xfId="0" applyAlignment="1" applyBorder="1" applyFont="1" applyNumberFormat="1">
      <alignment horizontal="right" readingOrder="0"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1" fillId="9" fontId="6" numFmtId="165" xfId="0" applyAlignment="1" applyBorder="1" applyFont="1" applyNumberFormat="1">
      <alignment horizontal="right" readingOrder="0" shrinkToFit="0" vertical="bottom" wrapText="0"/>
    </xf>
    <xf borderId="1" fillId="9" fontId="3" numFmtId="0" xfId="0" applyBorder="1" applyFont="1"/>
    <xf borderId="1" fillId="9" fontId="3" numFmtId="0" xfId="0" applyAlignment="1" applyBorder="1" applyFont="1">
      <alignment readingOrder="0"/>
    </xf>
    <xf borderId="1" fillId="9" fontId="8" numFmtId="0" xfId="0" applyAlignment="1" applyBorder="1" applyFont="1">
      <alignment readingOrder="0"/>
    </xf>
    <xf borderId="1" fillId="9" fontId="2" numFmtId="0" xfId="0" applyAlignment="1" applyBorder="1" applyFont="1">
      <alignment readingOrder="0" shrinkToFit="0" vertical="bottom" wrapText="0"/>
    </xf>
    <xf borderId="1" fillId="12" fontId="5" numFmtId="0" xfId="0" applyAlignment="1" applyBorder="1" applyFill="1" applyFont="1">
      <alignment horizontal="center" readingOrder="0" shrinkToFit="0" vertical="bottom" wrapText="0"/>
    </xf>
    <xf borderId="1" fillId="12" fontId="2" numFmtId="0" xfId="0" applyAlignment="1" applyBorder="1" applyFont="1">
      <alignment shrinkToFit="0" vertical="bottom" wrapText="0"/>
    </xf>
    <xf borderId="1" fillId="12" fontId="6" numFmtId="0" xfId="0" applyAlignment="1" applyBorder="1" applyFont="1">
      <alignment readingOrder="0" shrinkToFit="0" vertical="bottom" wrapText="1"/>
    </xf>
    <xf borderId="1" fillId="12" fontId="6" numFmtId="165" xfId="0" applyAlignment="1" applyBorder="1" applyFont="1" applyNumberFormat="1">
      <alignment horizontal="right" readingOrder="0" shrinkToFit="0" vertical="bottom" wrapText="0"/>
    </xf>
    <xf borderId="1" fillId="12" fontId="2" numFmtId="0" xfId="0" applyAlignment="1" applyBorder="1" applyFont="1">
      <alignment horizontal="right" readingOrder="0" shrinkToFit="0" vertical="bottom" wrapText="0"/>
    </xf>
    <xf borderId="1" fillId="12" fontId="6" numFmtId="0" xfId="0" applyAlignment="1" applyBorder="1" applyFont="1">
      <alignment readingOrder="0" shrinkToFit="0" vertical="bottom" wrapText="0"/>
    </xf>
    <xf borderId="1" fillId="12" fontId="6" numFmtId="165" xfId="0" applyAlignment="1" applyBorder="1" applyFont="1" applyNumberFormat="1">
      <alignment horizontal="right" readingOrder="0" shrinkToFit="0" vertical="bottom" wrapText="0"/>
    </xf>
    <xf borderId="1" fillId="12" fontId="3" numFmtId="0" xfId="0" applyBorder="1" applyFont="1"/>
    <xf borderId="1" fillId="12" fontId="3" numFmtId="0" xfId="0" applyAlignment="1" applyBorder="1" applyFont="1">
      <alignment readingOrder="0"/>
    </xf>
    <xf borderId="1" fillId="12" fontId="8" numFmtId="0" xfId="0" applyAlignment="1" applyBorder="1" applyFont="1">
      <alignment readingOrder="0"/>
    </xf>
    <xf borderId="1" fillId="12" fontId="7" numFmtId="0" xfId="0" applyAlignment="1" applyBorder="1" applyFont="1">
      <alignment horizontal="left" shrinkToFit="0" vertical="bottom" wrapText="0"/>
    </xf>
    <xf borderId="1" fillId="12" fontId="2" numFmtId="0" xfId="0" applyAlignment="1" applyBorder="1" applyFont="1">
      <alignment readingOrder="0" shrinkToFit="0" vertical="bottom" wrapText="0"/>
    </xf>
    <xf borderId="1" fillId="12" fontId="8" numFmtId="0" xfId="0" applyAlignment="1" applyBorder="1" applyFont="1">
      <alignment horizontal="left" readingOrder="0" shrinkToFit="0" vertical="bottom" wrapText="0"/>
    </xf>
    <xf borderId="1" fillId="12" fontId="8" numFmtId="0" xfId="0" applyAlignment="1" applyBorder="1" applyFont="1">
      <alignment horizontal="left" shrinkToFit="0" vertical="bottom" wrapText="0"/>
    </xf>
    <xf borderId="0" fillId="10" fontId="2" numFmtId="0" xfId="0" applyAlignment="1" applyFont="1">
      <alignment readingOrder="0"/>
    </xf>
    <xf borderId="0" fillId="10" fontId="9" numFmtId="0" xfId="0" applyFont="1"/>
    <xf borderId="0" fillId="1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80.63"/>
    <col customWidth="1" min="3" max="3" width="12.25"/>
    <col customWidth="1" min="4" max="4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4" t="s">
        <v>4</v>
      </c>
      <c r="C2" s="5">
        <v>46037.0</v>
      </c>
      <c r="D2" s="6">
        <v>1.3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4" t="s">
        <v>5</v>
      </c>
      <c r="C3" s="5">
        <v>46037.0</v>
      </c>
      <c r="D3" s="6">
        <v>0.15</v>
      </c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/>
      <c r="B4" s="4" t="s">
        <v>6</v>
      </c>
      <c r="C4" s="5">
        <v>46037.0</v>
      </c>
      <c r="D4" s="4">
        <v>2.0</v>
      </c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/>
      <c r="B5" s="4" t="s">
        <v>7</v>
      </c>
      <c r="C5" s="5">
        <v>46037.0</v>
      </c>
      <c r="D5" s="4">
        <v>1.15</v>
      </c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/>
      <c r="B6" s="4" t="s">
        <v>8</v>
      </c>
      <c r="C6" s="5">
        <v>46038.0</v>
      </c>
      <c r="D6" s="4">
        <v>4.75</v>
      </c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/>
      <c r="B7" s="4" t="s">
        <v>9</v>
      </c>
      <c r="C7" s="5">
        <v>46038.0</v>
      </c>
      <c r="D7" s="4">
        <v>3.5</v>
      </c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/>
      <c r="B8" s="4" t="s">
        <v>10</v>
      </c>
      <c r="C8" s="5">
        <v>46038.0</v>
      </c>
      <c r="D8" s="4">
        <v>5.75</v>
      </c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/>
      <c r="B9" s="4" t="s">
        <v>11</v>
      </c>
      <c r="C9" s="5">
        <v>46039.0</v>
      </c>
      <c r="D9" s="4">
        <v>5.0</v>
      </c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/>
      <c r="B10" s="4" t="s">
        <v>12</v>
      </c>
      <c r="C10" s="5">
        <v>46039.0</v>
      </c>
      <c r="D10" s="4">
        <v>5.5</v>
      </c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/>
      <c r="B11" s="4" t="s">
        <v>13</v>
      </c>
      <c r="C11" s="5">
        <v>46041.0</v>
      </c>
      <c r="D11" s="4">
        <v>4.75</v>
      </c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/>
      <c r="B12" s="4" t="s">
        <v>14</v>
      </c>
      <c r="C12" s="5">
        <v>46043.0</v>
      </c>
      <c r="D12" s="4">
        <v>4.75</v>
      </c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/>
      <c r="B13" s="4"/>
      <c r="C13" s="5"/>
      <c r="D13" s="4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/>
      <c r="B14" s="7" t="s">
        <v>15</v>
      </c>
      <c r="C14" s="8"/>
      <c r="D14" s="7">
        <f>sum(D2:D12)</f>
        <v>38.6</v>
      </c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"/>
      <c r="B16" s="2"/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9" t="s">
        <v>16</v>
      </c>
      <c r="B17" s="9" t="s">
        <v>1</v>
      </c>
      <c r="C17" s="9" t="s">
        <v>2</v>
      </c>
      <c r="D17" s="9" t="s">
        <v>3</v>
      </c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0"/>
      <c r="B18" s="11" t="s">
        <v>17</v>
      </c>
      <c r="C18" s="12">
        <v>46044.0</v>
      </c>
      <c r="D18" s="13">
        <v>1.5</v>
      </c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0"/>
      <c r="B19" s="11" t="s">
        <v>18</v>
      </c>
      <c r="C19" s="12">
        <v>46044.0</v>
      </c>
      <c r="D19" s="13">
        <v>2.0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0"/>
      <c r="B20" s="11" t="s">
        <v>19</v>
      </c>
      <c r="C20" s="12">
        <v>46044.0</v>
      </c>
      <c r="D20" s="13">
        <v>2.0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0"/>
      <c r="B21" s="11" t="s">
        <v>20</v>
      </c>
      <c r="C21" s="12">
        <v>46045.0</v>
      </c>
      <c r="D21" s="13">
        <v>2.0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0"/>
      <c r="B22" s="11" t="s">
        <v>21</v>
      </c>
      <c r="C22" s="12">
        <v>46045.0</v>
      </c>
      <c r="D22" s="13">
        <v>2.0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0"/>
      <c r="B23" s="11" t="s">
        <v>22</v>
      </c>
      <c r="C23" s="12">
        <v>46046.0</v>
      </c>
      <c r="D23" s="13">
        <v>1.5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0"/>
      <c r="B24" s="11" t="s">
        <v>23</v>
      </c>
      <c r="C24" s="12">
        <v>46046.0</v>
      </c>
      <c r="D24" s="13">
        <v>2.5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0"/>
      <c r="B25" s="11" t="s">
        <v>24</v>
      </c>
      <c r="C25" s="12">
        <v>46046.0</v>
      </c>
      <c r="D25" s="13">
        <v>2.0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0"/>
      <c r="B26" s="11" t="s">
        <v>25</v>
      </c>
      <c r="C26" s="12">
        <v>46047.0</v>
      </c>
      <c r="D26" s="13">
        <v>1.75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0"/>
      <c r="B27" s="11" t="s">
        <v>26</v>
      </c>
      <c r="C27" s="12">
        <v>46047.0</v>
      </c>
      <c r="D27" s="13">
        <v>2.0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0"/>
      <c r="B28" s="11" t="s">
        <v>27</v>
      </c>
      <c r="C28" s="12">
        <v>46047.0</v>
      </c>
      <c r="D28" s="13">
        <v>2.75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4"/>
      <c r="B29" s="15" t="s">
        <v>28</v>
      </c>
      <c r="C29" s="16">
        <v>46048.0</v>
      </c>
      <c r="D29" s="17">
        <v>2.0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4"/>
      <c r="B30" s="15" t="s">
        <v>29</v>
      </c>
      <c r="C30" s="16">
        <v>46048.0</v>
      </c>
      <c r="D30" s="17">
        <v>2.0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4"/>
      <c r="B31" s="15" t="s">
        <v>30</v>
      </c>
      <c r="C31" s="16">
        <v>46048.0</v>
      </c>
      <c r="D31" s="17">
        <v>1.15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4"/>
      <c r="B32" s="15" t="s">
        <v>31</v>
      </c>
      <c r="C32" s="16">
        <v>46049.0</v>
      </c>
      <c r="D32" s="17">
        <v>2.5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4"/>
      <c r="B33" s="18" t="s">
        <v>32</v>
      </c>
      <c r="C33" s="19">
        <v>46049.0</v>
      </c>
      <c r="D33" s="20">
        <v>3.75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1"/>
      <c r="B34" s="21" t="s">
        <v>15</v>
      </c>
      <c r="C34" s="22"/>
      <c r="D34" s="21">
        <f>sum(D18:D33)</f>
        <v>33.4</v>
      </c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3" t="s">
        <v>33</v>
      </c>
      <c r="B37" s="23" t="s">
        <v>1</v>
      </c>
      <c r="C37" s="23" t="s">
        <v>2</v>
      </c>
      <c r="D37" s="23" t="s">
        <v>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4"/>
      <c r="B38" s="25" t="s">
        <v>34</v>
      </c>
      <c r="C38" s="26">
        <v>46052.0</v>
      </c>
      <c r="D38" s="27">
        <v>1.5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4"/>
      <c r="B39" s="25" t="s">
        <v>35</v>
      </c>
      <c r="C39" s="26">
        <v>46052.0</v>
      </c>
      <c r="D39" s="27">
        <v>1.75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4"/>
      <c r="B40" s="25" t="s">
        <v>36</v>
      </c>
      <c r="C40" s="26">
        <v>46052.0</v>
      </c>
      <c r="D40" s="27">
        <v>2.15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4"/>
      <c r="B41" s="25" t="s">
        <v>37</v>
      </c>
      <c r="C41" s="26">
        <v>46054.0</v>
      </c>
      <c r="D41" s="27">
        <v>2.75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4"/>
      <c r="B42" s="25" t="s">
        <v>38</v>
      </c>
      <c r="C42" s="26">
        <v>46055.0</v>
      </c>
      <c r="D42" s="27">
        <v>3.75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8"/>
      <c r="B44" s="29" t="s">
        <v>15</v>
      </c>
      <c r="C44" s="30"/>
      <c r="D44" s="24">
        <f>sum(D38:D42)</f>
        <v>11.9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1" t="s">
        <v>39</v>
      </c>
      <c r="B47" s="31" t="s">
        <v>1</v>
      </c>
      <c r="C47" s="31" t="s">
        <v>2</v>
      </c>
      <c r="D47" s="31" t="s">
        <v>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2"/>
      <c r="B48" s="33" t="s">
        <v>40</v>
      </c>
      <c r="C48" s="34">
        <v>46059.0</v>
      </c>
      <c r="D48" s="35">
        <v>3.75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2"/>
      <c r="B49" s="33" t="s">
        <v>41</v>
      </c>
      <c r="C49" s="34">
        <v>46061.0</v>
      </c>
      <c r="D49" s="35">
        <v>3.25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2"/>
      <c r="B50" s="33" t="s">
        <v>42</v>
      </c>
      <c r="C50" s="34">
        <v>46061.0</v>
      </c>
      <c r="D50" s="35">
        <v>4.5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2"/>
      <c r="B51" s="33" t="s">
        <v>43</v>
      </c>
      <c r="C51" s="34">
        <v>46062.0</v>
      </c>
      <c r="D51" s="35">
        <v>3.75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2"/>
      <c r="B52" s="33" t="s">
        <v>44</v>
      </c>
      <c r="C52" s="34">
        <v>46063.0</v>
      </c>
      <c r="D52" s="35">
        <v>3.5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6"/>
      <c r="B54" s="37" t="s">
        <v>15</v>
      </c>
      <c r="C54" s="38"/>
      <c r="D54" s="39">
        <f>sum(D48:D52)</f>
        <v>18.75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0" t="s">
        <v>45</v>
      </c>
      <c r="B57" s="40" t="s">
        <v>1</v>
      </c>
      <c r="C57" s="40" t="s">
        <v>2</v>
      </c>
      <c r="D57" s="40" t="s">
        <v>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1"/>
      <c r="B58" s="42" t="s">
        <v>46</v>
      </c>
      <c r="C58" s="43">
        <v>46066.0</v>
      </c>
      <c r="D58" s="44">
        <v>2.15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1"/>
      <c r="B59" s="42" t="s">
        <v>47</v>
      </c>
      <c r="C59" s="43">
        <v>46066.0</v>
      </c>
      <c r="D59" s="44">
        <v>3.75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1"/>
      <c r="B60" s="42" t="s">
        <v>48</v>
      </c>
      <c r="C60" s="43">
        <v>46069.0</v>
      </c>
      <c r="D60" s="44">
        <v>3.5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1"/>
      <c r="B61" s="42" t="s">
        <v>49</v>
      </c>
      <c r="C61" s="43">
        <v>46069.0</v>
      </c>
      <c r="D61" s="44">
        <v>2.5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5"/>
      <c r="B63" s="46" t="s">
        <v>15</v>
      </c>
      <c r="C63" s="47"/>
      <c r="D63" s="41">
        <f>sum(D58:D61)</f>
        <v>11.9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8" t="s">
        <v>50</v>
      </c>
      <c r="B66" s="48" t="s">
        <v>1</v>
      </c>
      <c r="C66" s="48" t="s">
        <v>2</v>
      </c>
      <c r="D66" s="48" t="s">
        <v>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9"/>
      <c r="B67" s="50" t="s">
        <v>51</v>
      </c>
      <c r="C67" s="51">
        <v>46073.0</v>
      </c>
      <c r="D67" s="52">
        <v>1.75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9"/>
      <c r="B68" s="50" t="s">
        <v>52</v>
      </c>
      <c r="C68" s="51">
        <v>46074.0</v>
      </c>
      <c r="D68" s="52">
        <v>2.0</v>
      </c>
      <c r="E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9"/>
      <c r="B69" s="50" t="s">
        <v>53</v>
      </c>
      <c r="C69" s="51">
        <v>46075.0</v>
      </c>
      <c r="D69" s="52">
        <v>0.25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9"/>
      <c r="B70" s="50" t="s">
        <v>54</v>
      </c>
      <c r="C70" s="51">
        <v>46076.0</v>
      </c>
      <c r="D70" s="52">
        <v>1.75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9"/>
      <c r="B71" s="53" t="s">
        <v>55</v>
      </c>
      <c r="C71" s="51">
        <v>46076.0</v>
      </c>
      <c r="D71" s="52">
        <v>3.75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4"/>
      <c r="B73" s="55" t="s">
        <v>15</v>
      </c>
      <c r="C73" s="56"/>
      <c r="D73" s="49">
        <f>sum(D67:D71)</f>
        <v>9.5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7" t="s">
        <v>56</v>
      </c>
      <c r="B76" s="57" t="s">
        <v>1</v>
      </c>
      <c r="C76" s="57" t="s">
        <v>2</v>
      </c>
      <c r="D76" s="57" t="s">
        <v>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8"/>
      <c r="B77" s="59" t="s">
        <v>57</v>
      </c>
      <c r="C77" s="60">
        <v>46080.0</v>
      </c>
      <c r="D77" s="61">
        <v>3.75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8"/>
      <c r="B78" s="62" t="s">
        <v>58</v>
      </c>
      <c r="C78" s="60">
        <v>46081.0</v>
      </c>
      <c r="D78" s="61">
        <v>1.75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8"/>
      <c r="B79" s="62" t="s">
        <v>59</v>
      </c>
      <c r="C79" s="60">
        <v>46081.0</v>
      </c>
      <c r="D79" s="61">
        <v>2.15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8"/>
      <c r="B80" s="62" t="s">
        <v>60</v>
      </c>
      <c r="C80" s="60">
        <v>46081.0</v>
      </c>
      <c r="D80" s="61">
        <v>0.45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8"/>
      <c r="B81" s="59" t="s">
        <v>61</v>
      </c>
      <c r="C81" s="60">
        <v>46082.0</v>
      </c>
      <c r="D81" s="61">
        <v>2.5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63"/>
      <c r="B82" s="64" t="s">
        <v>62</v>
      </c>
      <c r="C82" s="60">
        <v>46083.0</v>
      </c>
      <c r="D82" s="65">
        <v>3.75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63"/>
      <c r="B83" s="64" t="s">
        <v>63</v>
      </c>
      <c r="C83" s="60">
        <v>46085.0</v>
      </c>
      <c r="D83" s="65">
        <v>0.75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63"/>
      <c r="B84" s="64" t="s">
        <v>64</v>
      </c>
      <c r="C84" s="60">
        <v>46085.0</v>
      </c>
      <c r="D84" s="65">
        <v>0.25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63"/>
      <c r="B85" s="64" t="s">
        <v>65</v>
      </c>
      <c r="C85" s="60">
        <v>46085.0</v>
      </c>
      <c r="D85" s="65">
        <v>0.5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66"/>
      <c r="B86" s="66"/>
      <c r="C86" s="66"/>
      <c r="D86" s="6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67"/>
      <c r="B87" s="68" t="s">
        <v>15</v>
      </c>
      <c r="C87" s="69"/>
      <c r="D87" s="58">
        <f>sum(D77:D82)</f>
        <v>14.35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0" t="s">
        <v>66</v>
      </c>
      <c r="B90" s="40" t="s">
        <v>1</v>
      </c>
      <c r="C90" s="40" t="s">
        <v>2</v>
      </c>
      <c r="D90" s="40" t="s">
        <v>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1"/>
      <c r="B91" s="70" t="s">
        <v>67</v>
      </c>
      <c r="C91" s="71">
        <v>46087.0</v>
      </c>
      <c r="D91" s="44">
        <v>1.75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1"/>
      <c r="B92" s="72" t="s">
        <v>68</v>
      </c>
      <c r="C92" s="71">
        <v>46087.0</v>
      </c>
      <c r="D92" s="44">
        <v>2.5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1"/>
      <c r="B93" s="72" t="s">
        <v>69</v>
      </c>
      <c r="C93" s="73">
        <v>46087.0</v>
      </c>
      <c r="D93" s="44">
        <v>2.15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1"/>
      <c r="B94" s="72" t="s">
        <v>70</v>
      </c>
      <c r="C94" s="73">
        <v>46087.0</v>
      </c>
      <c r="D94" s="44">
        <v>2.75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1"/>
      <c r="B95" s="70" t="s">
        <v>71</v>
      </c>
      <c r="C95" s="73">
        <v>46088.0</v>
      </c>
      <c r="D95" s="44">
        <v>2.0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74"/>
      <c r="B96" s="70" t="s">
        <v>72</v>
      </c>
      <c r="C96" s="73">
        <v>46088.0</v>
      </c>
      <c r="D96" s="75">
        <v>1.75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74"/>
      <c r="B97" s="70" t="s">
        <v>73</v>
      </c>
      <c r="C97" s="73">
        <v>46088.0</v>
      </c>
      <c r="D97" s="75">
        <v>1.15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74"/>
      <c r="B98" s="70" t="s">
        <v>74</v>
      </c>
      <c r="C98" s="73">
        <v>46088.0</v>
      </c>
      <c r="D98" s="75">
        <v>0.75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74"/>
      <c r="B99" s="76" t="s">
        <v>75</v>
      </c>
      <c r="C99" s="73">
        <v>46089.0</v>
      </c>
      <c r="D99" s="75">
        <v>3.75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74"/>
      <c r="B100" s="76" t="s">
        <v>76</v>
      </c>
      <c r="C100" s="73">
        <v>46089.0</v>
      </c>
      <c r="D100" s="75">
        <v>4.15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45"/>
      <c r="B101" s="72" t="s">
        <v>77</v>
      </c>
      <c r="C101" s="73">
        <v>46090.0</v>
      </c>
      <c r="D101" s="77">
        <v>2.25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45"/>
      <c r="B102" s="72" t="s">
        <v>78</v>
      </c>
      <c r="C102" s="73">
        <v>46090.0</v>
      </c>
      <c r="D102" s="77">
        <v>1.75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45"/>
      <c r="B103" s="72" t="s">
        <v>79</v>
      </c>
      <c r="C103" s="73">
        <v>46090.0</v>
      </c>
      <c r="D103" s="77">
        <v>1.0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45"/>
      <c r="B104" s="46" t="s">
        <v>80</v>
      </c>
      <c r="C104" s="73">
        <v>46092.0</v>
      </c>
      <c r="D104" s="77">
        <v>1.75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45"/>
      <c r="B105" s="46" t="s">
        <v>15</v>
      </c>
      <c r="C105" s="47"/>
      <c r="D105" s="41">
        <f>sum(D91:D104)</f>
        <v>29.45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78" t="s">
        <v>81</v>
      </c>
      <c r="B108" s="78" t="s">
        <v>1</v>
      </c>
      <c r="C108" s="78" t="s">
        <v>2</v>
      </c>
      <c r="D108" s="78" t="s">
        <v>3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79"/>
      <c r="B109" s="80" t="s">
        <v>82</v>
      </c>
      <c r="C109" s="81">
        <v>46093.0</v>
      </c>
      <c r="D109" s="82">
        <v>2.75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79"/>
      <c r="B110" s="83"/>
      <c r="C110" s="84"/>
      <c r="D110" s="8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79"/>
      <c r="B111" s="83"/>
      <c r="C111" s="81"/>
      <c r="D111" s="8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79"/>
      <c r="B112" s="83"/>
      <c r="C112" s="81"/>
      <c r="D112" s="8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79"/>
      <c r="B113" s="80"/>
      <c r="C113" s="81"/>
      <c r="D113" s="8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85"/>
      <c r="B114" s="80"/>
      <c r="C114" s="81"/>
      <c r="D114" s="8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85"/>
      <c r="B115" s="80"/>
      <c r="C115" s="81"/>
      <c r="D115" s="8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85"/>
      <c r="B116" s="80"/>
      <c r="C116" s="81"/>
      <c r="D116" s="8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85"/>
      <c r="B117" s="87"/>
      <c r="C117" s="81"/>
      <c r="D117" s="8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85"/>
      <c r="B118" s="87"/>
      <c r="C118" s="81"/>
      <c r="D118" s="8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88"/>
      <c r="B119" s="83"/>
      <c r="C119" s="81"/>
      <c r="D119" s="89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88"/>
      <c r="B120" s="83"/>
      <c r="C120" s="81"/>
      <c r="D120" s="89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88"/>
      <c r="B121" s="83"/>
      <c r="C121" s="81"/>
      <c r="D121" s="89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88"/>
      <c r="B122" s="90"/>
      <c r="C122" s="81"/>
      <c r="D122" s="89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88"/>
      <c r="B123" s="90" t="s">
        <v>15</v>
      </c>
      <c r="C123" s="91"/>
      <c r="D123" s="79">
        <f>sum(D109:D122)</f>
        <v>2.75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92" t="s">
        <v>83</v>
      </c>
      <c r="B153" s="93"/>
      <c r="C153" s="93"/>
      <c r="D153" s="94">
        <f>sum(D14,D34,D44,D54,D63,D73,D87,D105,D123)</f>
        <v>170.6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</sheetData>
  <drawing r:id="rId1"/>
</worksheet>
</file>