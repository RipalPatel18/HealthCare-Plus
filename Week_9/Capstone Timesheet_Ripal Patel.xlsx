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9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123" i="1" l="1"/>
  <c r="D105" i="1"/>
  <c r="D87" i="1"/>
  <c r="D73" i="1"/>
  <c r="D63" i="1"/>
  <c r="D54" i="1"/>
  <c r="D44" i="1"/>
  <c r="D34" i="1"/>
  <c r="D14" i="1"/>
  <c r="D153" i="1" l="1"/>
</calcChain>
</file>

<file path=xl/sharedStrings.xml><?xml version="1.0" encoding="utf-8"?>
<sst xmlns="http://schemas.openxmlformats.org/spreadsheetml/2006/main" count="119" uniqueCount="87">
  <si>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</si>
  <si>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</si>
  <si>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</si>
  <si>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</si>
  <si>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</si>
  <si>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</si>
  <si>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</si>
  <si>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</si>
  <si>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</si>
  <si>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</si>
  <si>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</si>
  <si>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</si>
  <si>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</si>
  <si>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</si>
  <si>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</si>
  <si>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</si>
  <si>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</si>
  <si>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</si>
  <si>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</si>
  <si>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</si>
  <si>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</si>
  <si>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</si>
  <si>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</si>
  <si>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</si>
  <si>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</si>
  <si>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</si>
  <si>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</si>
  <si>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</si>
  <si>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</si>
  <si>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</si>
  <si>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</si>
  <si>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</si>
  <si>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</si>
  <si>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</si>
  <si>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</si>
  <si>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</si>
  <si>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</si>
  <si>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</si>
  <si>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</si>
  <si>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</si>
  <si>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</si>
  <si>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</si>
  <si>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</si>
  <si>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</si>
  <si>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</si>
  <si>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</si>
  <si>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</si>
  <si>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</si>
  <si>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</si>
  <si>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</si>
  <si>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</si>
  <si>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</si>
  <si>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</si>
  <si>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</si>
  <si>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</si>
  <si>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</si>
  <si>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</si>
  <si>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</si>
  <si>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</si>
  <si>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</si>
  <si>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</si>
  <si>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</si>
  <si>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</si>
  <si>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</si>
  <si>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</si>
  <si>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</si>
  <si>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</si>
  <si>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</si>
  <si>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</si>
  <si>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</si>
  <si>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</si>
  <si>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</si>
  <si>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</si>
  <si>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</si>
  <si>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</si>
  <si>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</si>
  <si>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</si>
  <si>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</si>
  <si>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</si>
  <si>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</si>
  <si>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</si>
  <si>
    <t>Week_9</t>
  </si>
  <si>
    <t>Connected patient dashboard with database to display upcoming and recent appointments dynamically.</t>
  </si>
  <si>
    <t>Create New page for patient (record page)  + connect with databse</t>
  </si>
  <si>
    <t>Create New page for patient (Edit appointment) + connect with databse</t>
  </si>
  <si>
    <t>Fully Dynamic Patient Pofile ready  + Testing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</si>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</sst>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10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  <font>
      <b/>
      <sz val="12"/>
      <color rgb="FF000000"/>
      <name val="Arial"/>
    </font>
    <font>
      <sz val="12"/>
      <color rgb="FF000000"/>
      <name val="Arial"/>
    </font>
    <font>
      <sz val="12"/>
      <color rgb="FFFFFFFF"/>
      <name val="Arial"/>
    </font>
    <font>
      <sz val="12"/>
      <color theme="1"/>
      <name val="Arial"/>
    </font>
    <font>
      <sz val="14"/>
      <color theme="0"/>
      <name val="Arial"/>
    </font>
  </fonts>
  <fills count="13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  <fill>
      <patternFill patternType="solid">
        <fgColor rgb="FFF3F3F3"/>
        <bgColor rgb="FFF3F3F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5" fillId="6" borderId="1" xfId="0" applyFont="1" applyFill="1" applyBorder="1" applyAlignment="1">
      <alignment horizontal="center"/>
    </xf>
    <xf numFmtId="0" fontId="2" fillId="6" borderId="1" xfId="0" applyFont="1" applyFill="1" applyBorder="1" applyAlignment="1"/>
    <xf numFmtId="0" fontId="6" fillId="6" borderId="1" xfId="0" applyFont="1" applyFill="1" applyBorder="1" applyAlignment="1"/>
    <xf numFmtId="165" fontId="6" fillId="6" borderId="2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5" fillId="7" borderId="1" xfId="0" applyFont="1" applyFill="1" applyBorder="1" applyAlignment="1">
      <alignment horizontal="center"/>
    </xf>
    <xf numFmtId="0" fontId="2" fillId="7" borderId="1" xfId="0" applyFont="1" applyFill="1" applyBorder="1" applyAlignment="1"/>
    <xf numFmtId="0" fontId="6" fillId="7" borderId="1" xfId="0" applyFont="1" applyFill="1" applyBorder="1" applyAlignment="1"/>
    <xf numFmtId="165" fontId="6" fillId="7" borderId="2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8" fillId="8" borderId="1" xfId="0" applyFont="1" applyFill="1" applyBorder="1" applyAlignment="1">
      <alignment horizontal="left"/>
    </xf>
    <xf numFmtId="0" fontId="2" fillId="8" borderId="1" xfId="0" applyFont="1" applyFill="1" applyBorder="1" applyAlignment="1"/>
    <xf numFmtId="0" fontId="5" fillId="9" borderId="1" xfId="0" applyFont="1" applyFill="1" applyBorder="1" applyAlignment="1">
      <alignment horizontal="center"/>
    </xf>
    <xf numFmtId="0" fontId="2" fillId="9" borderId="1" xfId="0" applyFont="1" applyFill="1" applyBorder="1" applyAlignment="1"/>
    <xf numFmtId="0" fontId="6" fillId="9" borderId="1" xfId="0" applyFont="1" applyFill="1" applyBorder="1" applyAlignment="1"/>
    <xf numFmtId="165" fontId="6" fillId="9" borderId="2" xfId="0" applyNumberFormat="1" applyFont="1" applyFill="1" applyBorder="1" applyAlignment="1">
      <alignment horizontal="right"/>
    </xf>
    <xf numFmtId="0" fontId="2" fillId="9" borderId="1" xfId="0" applyFont="1" applyFill="1" applyBorder="1" applyAlignment="1">
      <alignment horizontal="right"/>
    </xf>
    <xf numFmtId="0" fontId="7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8" fillId="9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2" fillId="10" borderId="1" xfId="0" applyFont="1" applyFill="1" applyBorder="1" applyAlignment="1"/>
    <xf numFmtId="0" fontId="6" fillId="10" borderId="1" xfId="0" applyFont="1" applyFill="1" applyBorder="1" applyAlignment="1"/>
    <xf numFmtId="165" fontId="6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6" fillId="10" borderId="1" xfId="0" applyFont="1" applyFill="1" applyBorder="1" applyAlignment="1">
      <alignment wrapText="1"/>
    </xf>
    <xf numFmtId="0" fontId="7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8" fillId="10" borderId="1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center"/>
    </xf>
    <xf numFmtId="0" fontId="2" fillId="11" borderId="1" xfId="0" applyFont="1" applyFill="1" applyBorder="1" applyAlignment="1"/>
    <xf numFmtId="0" fontId="6" fillId="11" borderId="1" xfId="0" applyFont="1" applyFill="1" applyBorder="1" applyAlignment="1">
      <alignment wrapText="1"/>
    </xf>
    <xf numFmtId="165" fontId="6" fillId="11" borderId="1" xfId="0" applyNumberFormat="1" applyFont="1" applyFill="1" applyBorder="1" applyAlignment="1">
      <alignment horizontal="right"/>
    </xf>
    <xf numFmtId="0" fontId="2" fillId="11" borderId="1" xfId="0" applyFont="1" applyFill="1" applyBorder="1" applyAlignment="1">
      <alignment horizontal="right"/>
    </xf>
    <xf numFmtId="0" fontId="6" fillId="11" borderId="1" xfId="0" applyFont="1" applyFill="1" applyBorder="1" applyAlignment="1"/>
    <xf numFmtId="0" fontId="3" fillId="11" borderId="1" xfId="0" applyFont="1" applyFill="1" applyBorder="1"/>
    <xf numFmtId="0" fontId="8" fillId="11" borderId="1" xfId="0" applyFont="1" applyFill="1" applyBorder="1" applyAlignment="1"/>
    <xf numFmtId="0" fontId="3" fillId="11" borderId="1" xfId="0" applyFont="1" applyFill="1" applyBorder="1" applyAlignment="1"/>
    <xf numFmtId="0" fontId="3" fillId="11" borderId="0" xfId="0" applyFont="1" applyFill="1"/>
    <xf numFmtId="0" fontId="7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8" fillId="11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wrapText="1"/>
    </xf>
    <xf numFmtId="165" fontId="6" fillId="9" borderId="1" xfId="0" applyNumberFormat="1" applyFont="1" applyFill="1" applyBorder="1" applyAlignment="1">
      <alignment horizontal="right"/>
    </xf>
    <xf numFmtId="0" fontId="6" fillId="9" borderId="1" xfId="0" applyFont="1" applyFill="1" applyBorder="1" applyAlignment="1"/>
    <xf numFmtId="165" fontId="6" fillId="9" borderId="1" xfId="0" applyNumberFormat="1" applyFont="1" applyFill="1" applyBorder="1" applyAlignment="1">
      <alignment horizontal="right"/>
    </xf>
    <xf numFmtId="0" fontId="3" fillId="9" borderId="1" xfId="0" applyFont="1" applyFill="1" applyBorder="1"/>
    <xf numFmtId="0" fontId="3" fillId="9" borderId="1" xfId="0" applyFont="1" applyFill="1" applyBorder="1" applyAlignment="1"/>
    <xf numFmtId="0" fontId="8" fillId="9" borderId="1" xfId="0" applyFont="1" applyFill="1" applyBorder="1" applyAlignment="1"/>
    <xf numFmtId="0" fontId="2" fillId="9" borderId="1" xfId="0" applyFont="1" applyFill="1" applyBorder="1" applyAlignment="1"/>
    <xf numFmtId="0" fontId="5" fillId="12" borderId="1" xfId="0" applyFont="1" applyFill="1" applyBorder="1" applyAlignment="1">
      <alignment horizontal="center"/>
    </xf>
    <xf numFmtId="0" fontId="2" fillId="12" borderId="1" xfId="0" applyFont="1" applyFill="1" applyBorder="1" applyAlignment="1"/>
    <xf numFmtId="0" fontId="6" fillId="12" borderId="1" xfId="0" applyFont="1" applyFill="1" applyBorder="1" applyAlignment="1">
      <alignment wrapText="1"/>
    </xf>
    <xf numFmtId="165" fontId="6" fillId="12" borderId="1" xfId="0" applyNumberFormat="1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6" fillId="12" borderId="1" xfId="0" applyFont="1" applyFill="1" applyBorder="1" applyAlignment="1"/>
    <xf numFmtId="0" fontId="3" fillId="12" borderId="1" xfId="0" applyFont="1" applyFill="1" applyBorder="1"/>
    <xf numFmtId="0" fontId="3" fillId="12" borderId="1" xfId="0" applyFont="1" applyFill="1" applyBorder="1" applyAlignment="1"/>
    <xf numFmtId="0" fontId="8" fillId="12" borderId="1" xfId="0" applyFont="1" applyFill="1" applyBorder="1" applyAlignment="1"/>
    <xf numFmtId="0" fontId="7" fillId="12" borderId="1" xfId="0" applyFont="1" applyFill="1" applyBorder="1" applyAlignment="1">
      <alignment horizontal="left"/>
    </xf>
    <xf numFmtId="0" fontId="2" fillId="12" borderId="1" xfId="0" applyFont="1" applyFill="1" applyBorder="1" applyAlignment="1"/>
    <xf numFmtId="0" fontId="8" fillId="12" borderId="1" xfId="0" applyFont="1" applyFill="1" applyBorder="1" applyAlignment="1">
      <alignment horizontal="left"/>
    </xf>
    <xf numFmtId="0" fontId="8" fillId="12" borderId="1" xfId="0" applyFont="1" applyFill="1" applyBorder="1" applyAlignment="1">
      <alignment horizontal="left"/>
    </xf>
    <xf numFmtId="0" fontId="2" fillId="10" borderId="0" xfId="0" applyFont="1" applyFill="1" applyAlignment="1"/>
    <xf numFmtId="0" fontId="9" fillId="10" borderId="0" xfId="0" applyFont="1" applyFill="1"/>
    <xf numFmtId="0" fontId="2" fillId="1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1005"/>
  <sheetViews>
    <sheetView tabSelected="1" topLeftCell="A107" workbookViewId="0">
      <selection activeCell="E121" sqref="E121"/>
    </sheetView>
  </sheetViews>
  <sheetFormatPr defaultColWidth="12.6328125" defaultRowHeight="15.75" customHeight="1" x14ac:dyDescent="0.25"/>
  <cols>
    <col min="1" max="1" width="12.7265625" customWidth="1"/>
    <col min="2" max="2" width="80.63281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8" t="s">
        <v>32</v>
      </c>
      <c r="C33" s="19">
        <v>46049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24"/>
      <c r="B38" s="25" t="s">
        <v>34</v>
      </c>
      <c r="C38" s="26">
        <v>46052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24"/>
      <c r="B39" s="25" t="s">
        <v>35</v>
      </c>
      <c r="C39" s="26">
        <v>46052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24"/>
      <c r="B40" s="25" t="s">
        <v>36</v>
      </c>
      <c r="C40" s="26">
        <v>46052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24"/>
      <c r="B41" s="25" t="s">
        <v>37</v>
      </c>
      <c r="C41" s="26">
        <v>46054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24"/>
      <c r="B42" s="25" t="s">
        <v>38</v>
      </c>
      <c r="C42" s="26">
        <v>46055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2"/>
      <c r="B48" s="33" t="s">
        <v>40</v>
      </c>
      <c r="C48" s="34">
        <v>46059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2"/>
      <c r="B49" s="33" t="s">
        <v>41</v>
      </c>
      <c r="C49" s="34">
        <v>46061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2"/>
      <c r="B50" s="33" t="s">
        <v>42</v>
      </c>
      <c r="C50" s="34">
        <v>46061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2"/>
      <c r="B51" s="33" t="s">
        <v>43</v>
      </c>
      <c r="C51" s="34">
        <v>46062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2"/>
      <c r="B52" s="33" t="s">
        <v>44</v>
      </c>
      <c r="C52" s="34">
        <v>46063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41"/>
      <c r="B58" s="42" t="s">
        <v>46</v>
      </c>
      <c r="C58" s="43">
        <v>46066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41"/>
      <c r="B59" s="42" t="s">
        <v>47</v>
      </c>
      <c r="C59" s="43">
        <v>46066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41"/>
      <c r="B60" s="42" t="s">
        <v>48</v>
      </c>
      <c r="C60" s="43">
        <v>46069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41"/>
      <c r="B61" s="42" t="s">
        <v>49</v>
      </c>
      <c r="C61" s="43">
        <v>46069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49"/>
      <c r="B67" s="50" t="s">
        <v>51</v>
      </c>
      <c r="C67" s="51">
        <v>46073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49"/>
      <c r="B68" s="50" t="s">
        <v>52</v>
      </c>
      <c r="C68" s="51">
        <v>46074</v>
      </c>
      <c r="D68" s="52">
        <v>2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49"/>
      <c r="B69" s="50" t="s">
        <v>53</v>
      </c>
      <c r="C69" s="51">
        <v>46075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49"/>
      <c r="B70" s="50" t="s">
        <v>54</v>
      </c>
      <c r="C70" s="51">
        <v>46076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46.5" x14ac:dyDescent="0.35">
      <c r="A71" s="49"/>
      <c r="B71" s="53" t="s">
        <v>55</v>
      </c>
      <c r="C71" s="51">
        <v>46076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46.5" x14ac:dyDescent="0.35">
      <c r="A77" s="58"/>
      <c r="B77" s="59" t="s">
        <v>57</v>
      </c>
      <c r="C77" s="60">
        <v>46080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58"/>
      <c r="B78" s="62" t="s">
        <v>58</v>
      </c>
      <c r="C78" s="60">
        <v>46081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58"/>
      <c r="B79" s="62" t="s">
        <v>59</v>
      </c>
      <c r="C79" s="60">
        <v>46081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58"/>
      <c r="B80" s="62" t="s">
        <v>60</v>
      </c>
      <c r="C80" s="60">
        <v>46081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58"/>
      <c r="B81" s="59" t="s">
        <v>61</v>
      </c>
      <c r="C81" s="60">
        <v>46082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63"/>
      <c r="B82" s="64" t="s">
        <v>62</v>
      </c>
      <c r="C82" s="60">
        <v>46083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63"/>
      <c r="B83" s="64" t="s">
        <v>63</v>
      </c>
      <c r="C83" s="60">
        <v>46085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63"/>
      <c r="B84" s="64" t="s">
        <v>64</v>
      </c>
      <c r="C84" s="60">
        <v>46085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63"/>
      <c r="B85" s="64" t="s">
        <v>65</v>
      </c>
      <c r="C85" s="60">
        <v>46085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41"/>
      <c r="B91" s="70" t="s">
        <v>67</v>
      </c>
      <c r="C91" s="71">
        <v>46087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41"/>
      <c r="B92" s="72" t="s">
        <v>68</v>
      </c>
      <c r="C92" s="71">
        <v>46087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41"/>
      <c r="B93" s="72" t="s">
        <v>69</v>
      </c>
      <c r="C93" s="73">
        <v>46087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41"/>
      <c r="B94" s="72" t="s">
        <v>70</v>
      </c>
      <c r="C94" s="73">
        <v>46087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41"/>
      <c r="B95" s="70" t="s">
        <v>71</v>
      </c>
      <c r="C95" s="73">
        <v>46088</v>
      </c>
      <c r="D95" s="44">
        <v>2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74"/>
      <c r="B96" s="70" t="s">
        <v>72</v>
      </c>
      <c r="C96" s="73">
        <v>46088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74"/>
      <c r="B97" s="70" t="s">
        <v>73</v>
      </c>
      <c r="C97" s="73">
        <v>46088</v>
      </c>
      <c r="D97" s="75">
        <v>1.1499999999999999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74"/>
      <c r="B98" s="70" t="s">
        <v>74</v>
      </c>
      <c r="C98" s="73">
        <v>46088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74"/>
      <c r="B99" s="76" t="s">
        <v>75</v>
      </c>
      <c r="C99" s="73">
        <v>46089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74"/>
      <c r="B100" s="76" t="s">
        <v>76</v>
      </c>
      <c r="C100" s="73">
        <v>46089</v>
      </c>
      <c r="D100" s="75">
        <v>4.1500000000000004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45"/>
      <c r="B101" s="72" t="s">
        <v>77</v>
      </c>
      <c r="C101" s="73">
        <v>46090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45"/>
      <c r="B102" s="72" t="s">
        <v>78</v>
      </c>
      <c r="C102" s="73">
        <v>46090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45"/>
      <c r="B103" s="72" t="s">
        <v>79</v>
      </c>
      <c r="C103" s="73">
        <v>46090</v>
      </c>
      <c r="D103" s="77">
        <v>1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45"/>
      <c r="B104" s="46" t="s">
        <v>80</v>
      </c>
      <c r="C104" s="73">
        <v>46092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45"/>
      <c r="B105" s="46" t="s">
        <v>15</v>
      </c>
      <c r="C105" s="47"/>
      <c r="D105" s="41">
        <f>SUM(D91:D104)</f>
        <v>29.450000000000003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78" t="s">
        <v>81</v>
      </c>
      <c r="B108" s="78" t="s">
        <v>1</v>
      </c>
      <c r="C108" s="78" t="s">
        <v>2</v>
      </c>
      <c r="D108" s="78" t="s">
        <v>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31" x14ac:dyDescent="0.35">
      <c r="A109" s="79"/>
      <c r="B109" s="80" t="s">
        <v>82</v>
      </c>
      <c r="C109" s="81">
        <v>46093</v>
      </c>
      <c r="D109" s="82">
        <v>2.75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79"/>
      <c r="B110" s="83" t="s">
        <v>83</v>
      </c>
      <c r="C110" s="81">
        <v>46094</v>
      </c>
      <c r="D110" s="82">
        <v>1.75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79"/>
      <c r="B111" s="83" t="s">
        <v>84</v>
      </c>
      <c r="C111" s="81">
        <v>46094</v>
      </c>
      <c r="D111" s="82">
        <v>2.75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79"/>
      <c r="B112" s="83" t="s">
        <v>85</v>
      </c>
      <c r="C112" s="81">
        <v>46094</v>
      </c>
      <c r="D112" s="82">
        <v>1.5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79"/>
      <c r="B113" s="80"/>
      <c r="C113" s="81"/>
      <c r="D113" s="8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84"/>
      <c r="B114" s="80"/>
      <c r="C114" s="81"/>
      <c r="D114" s="8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84"/>
      <c r="B115" s="80"/>
      <c r="C115" s="81"/>
      <c r="D115" s="8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84"/>
      <c r="B116" s="80"/>
      <c r="C116" s="81"/>
      <c r="D116" s="8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84"/>
      <c r="B117" s="86"/>
      <c r="C117" s="81"/>
      <c r="D117" s="8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84"/>
      <c r="B118" s="86"/>
      <c r="C118" s="81"/>
      <c r="D118" s="8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87"/>
      <c r="B119" s="83"/>
      <c r="C119" s="81"/>
      <c r="D119" s="88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87"/>
      <c r="B120" s="83"/>
      <c r="C120" s="81"/>
      <c r="D120" s="88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87"/>
      <c r="B121" s="83"/>
      <c r="C121" s="81"/>
      <c r="D121" s="88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87"/>
      <c r="B122" s="89"/>
      <c r="C122" s="81"/>
      <c r="D122" s="88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87"/>
      <c r="B123" s="89" t="s">
        <v>15</v>
      </c>
      <c r="C123" s="90"/>
      <c r="D123" s="79">
        <f>SUM(D109:D122)</f>
        <v>8.75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91" t="s">
        <v>86</v>
      </c>
      <c r="B153" s="92"/>
      <c r="C153" s="92"/>
      <c r="D153" s="93">
        <f>SUM(D14,D34,D44,D54,D63,D73,D87,D105,D123)</f>
        <v>176.60000000000002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7.5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7.5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7.5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7.5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7.5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7.5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7.5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7.5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7.5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7.5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7.5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7.5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7.5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7.5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7.5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7.5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7.5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7.5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spans="1:27" ht="17.5" x14ac:dyDescent="0.3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spans="1:27" ht="17.5" x14ac:dyDescent="0.3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spans="1:27" ht="17.5" x14ac:dyDescent="0.3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spans="1:27" ht="17.5" x14ac:dyDescent="0.3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spans="1:27" ht="17.5" x14ac:dyDescent="0.3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spans="1:27" ht="17.5" x14ac:dyDescent="0.3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spans="1:27" ht="17.5" x14ac:dyDescent="0.3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spans="1:27" ht="17.5" x14ac:dyDescent="0.3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spans="1:27" ht="17.5" x14ac:dyDescent="0.3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spans="1:27" ht="17.5" x14ac:dyDescent="0.3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spans="1:27" ht="17.5" x14ac:dyDescent="0.3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spans="1:27" ht="17.5" x14ac:dyDescent="0.3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spans="1:27" ht="17.5" x14ac:dyDescent="0.3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spans="1:27" ht="17.5" x14ac:dyDescent="0.3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spans="1:27" ht="17.5" x14ac:dyDescent="0.3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spans="1:27" ht="17.5" x14ac:dyDescent="0.3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spans="1:27" ht="17.5" x14ac:dyDescent="0.3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spans="1:27" ht="17.5" x14ac:dyDescent="0.3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spans="1:27" ht="17.5" x14ac:dyDescent="0.3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spans="1:27" ht="17.5" x14ac:dyDescent="0.3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spans="1:27" ht="17.5" x14ac:dyDescent="0.3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spans="1:27" ht="17.5" x14ac:dyDescent="0.3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spans="1:27" ht="17.5" x14ac:dyDescent="0.3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spans="1:27" ht="17.5" x14ac:dyDescent="0.3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spans="1:27" ht="17.5" x14ac:dyDescent="0.3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spans="1:27" ht="17.5" x14ac:dyDescent="0.3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spans="1:27" ht="17.5" x14ac:dyDescent="0.3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spans="1:27" ht="17.5" x14ac:dyDescent="0.3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 spans="1:27" ht="17.5" x14ac:dyDescent="0.35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 spans="1:27" ht="17.5" x14ac:dyDescent="0.35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 spans="1:27" ht="17.5" x14ac:dyDescent="0.35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 spans="1:27" ht="17.5" x14ac:dyDescent="0.35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 spans="1:27" ht="17.5" x14ac:dyDescent="0.3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2026-03-13T17:12:42Z</dcterms:modified>
</cp:coreProperties>
</file>