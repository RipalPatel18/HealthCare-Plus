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-5310- Capstone_Timesheet" sheetId="1" r:id="rId5"/>
  </sheets>
  <definedNames/>
  <calcPr/>
</workbook>
</file>

<file path=xl/sharedStrings.xml><?xml version="1.0" encoding="utf-8"?>
<sst xmlns="http://schemas.openxmlformats.org/spreadsheetml/2006/main" count="64" uniqueCount="48">
  <si>
    <t>Week_1</t>
  </si>
  <si>
    <t>Activities</t>
  </si>
  <si>
    <t>Date</t>
  </si>
  <si>
    <t>Time (hrs)</t>
  </si>
  <si>
    <t>Kickoff Meeting/Introduction</t>
  </si>
  <si>
    <t>Meeting with Bernie</t>
  </si>
  <si>
    <t>Tech Stack choices</t>
  </si>
  <si>
    <t>Create Github Repo + ReadMe file</t>
  </si>
  <si>
    <t>Work on website Theme</t>
  </si>
  <si>
    <t>Finalize Theme + colors + typography</t>
  </si>
  <si>
    <t>Requirements Document</t>
  </si>
  <si>
    <t>Timeline</t>
  </si>
  <si>
    <t>Technical Barriers Assessment Doc file</t>
  </si>
  <si>
    <t>Work on User Stories</t>
  </si>
  <si>
    <t>Create Basic Wireframes for all the pages</t>
  </si>
  <si>
    <t>Total</t>
  </si>
  <si>
    <t>Week_2</t>
  </si>
  <si>
    <t>Review wireframe feedback</t>
  </si>
  <si>
    <t>Update wireframes</t>
  </si>
  <si>
    <t>Finalize wireframes</t>
  </si>
  <si>
    <t>Update feature list</t>
  </si>
  <si>
    <t>Organize feature priorities</t>
  </si>
  <si>
    <t>Review course critical path</t>
  </si>
  <si>
    <t>Create project milestones</t>
  </si>
  <si>
    <t>Finalize project timeline</t>
  </si>
  <si>
    <t>Identify technical risks</t>
  </si>
  <si>
    <t>Identify content risks</t>
  </si>
  <si>
    <t>Write mitigation strategies</t>
  </si>
  <si>
    <t>Define UX goals</t>
  </si>
  <si>
    <t>Accessibility research (WCAG/AODA)</t>
  </si>
  <si>
    <t>Document accessibility considerations</t>
  </si>
  <si>
    <t>Documentation cleanup</t>
  </si>
  <si>
    <t>Start Working on Figma</t>
  </si>
  <si>
    <t>Week_3</t>
  </si>
  <si>
    <t>Wireframe in Figma (Hospital Logo Design)</t>
  </si>
  <si>
    <t>Wireframe in Figma (Hospital NavBar set up)</t>
  </si>
  <si>
    <t>Wireframe in Figma (Hospital NavBar, Hero Section, specialties)</t>
  </si>
  <si>
    <t>Wireframe in Figma (Add Doctor section and deatils)</t>
  </si>
  <si>
    <t>Wireframe in Figma (Home page - created)</t>
  </si>
  <si>
    <t>Week_4</t>
  </si>
  <si>
    <t>Wireframe in Figma Lo-fi prototype (Home, Login, Register, Services)</t>
  </si>
  <si>
    <t>Creat pages find doctors, book appointment, doctor pages</t>
  </si>
  <si>
    <t>Prototyping pages</t>
  </si>
  <si>
    <t>Add pages for patient, Doctors</t>
  </si>
  <si>
    <t>Add pages for Admin</t>
  </si>
  <si>
    <t>Week_5</t>
  </si>
  <si>
    <t>Add new pages (Staff view, Contact us)</t>
  </si>
  <si>
    <t>Wireframe in Figma Prototyping) (Public Pages)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</si>
</sst>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-mmm"/>
  </numFmts>
  <fonts count="9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4.0"/>
      <color theme="1"/>
      <name val="Arial"/>
    </font>
    <font>
      <sz val="14.0"/>
      <color rgb="FFFFFFFF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FFFFFF"/>
      <name val="Arial"/>
    </font>
    <font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FFE1D5"/>
        <bgColor rgb="FFFFE1D5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E6B8AF"/>
        <bgColor rgb="FFE6B8A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Font="1"/>
    <xf borderId="1" fillId="2" fontId="2" numFmtId="0" xfId="0" applyAlignment="1" applyBorder="1" applyFont="1">
      <alignment horizontal="left" readingOrder="0" shrinkToFit="0" vertical="bottom" wrapText="0"/>
    </xf>
    <xf borderId="1" fillId="2" fontId="2" numFmtId="164" xfId="0" applyAlignment="1" applyBorder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horizontal="left" readingOrder="0"/>
    </xf>
    <xf borderId="1" fillId="3" fontId="4" numFmtId="0" xfId="0" applyAlignment="1" applyBorder="1" applyFill="1" applyFont="1">
      <alignment horizontal="left" readingOrder="0" shrinkToFit="0" vertical="bottom" wrapText="0"/>
    </xf>
    <xf borderId="1" fillId="3" fontId="4" numFmtId="0" xfId="0" applyAlignment="1" applyBorder="1" applyFont="1">
      <alignment horizontal="left" shrinkToFit="0" vertical="bottom" wrapText="0"/>
    </xf>
    <xf borderId="1" fillId="4" fontId="1" numFmtId="0" xfId="0" applyAlignment="1" applyBorder="1" applyFill="1" applyFont="1">
      <alignment horizontal="center" readingOrder="0"/>
    </xf>
    <xf borderId="1" fillId="4" fontId="2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3" numFmtId="0" xfId="0" applyBorder="1" applyFont="1"/>
    <xf borderId="1" fillId="4" fontId="2" numFmtId="0" xfId="0" applyAlignment="1" applyBorder="1" applyFont="1">
      <alignment readingOrder="0"/>
    </xf>
    <xf borderId="1" fillId="4" fontId="2" numFmtId="165" xfId="0" applyAlignment="1" applyBorder="1" applyFont="1" applyNumberFormat="1">
      <alignment horizontal="right" readingOrder="0"/>
    </xf>
    <xf borderId="1" fillId="4" fontId="2" numFmtId="0" xfId="0" applyAlignment="1" applyBorder="1" applyFont="1">
      <alignment horizontal="right" readingOrder="0"/>
    </xf>
    <xf borderId="1" fillId="4" fontId="2" numFmtId="0" xfId="0" applyAlignment="1" applyBorder="1" applyFont="1">
      <alignment readingOrder="0" shrinkToFit="0" vertical="bottom" wrapText="0"/>
    </xf>
    <xf borderId="1" fillId="4" fontId="2" numFmtId="165" xfId="0" applyAlignment="1" applyBorder="1" applyFont="1" applyNumberFormat="1">
      <alignment horizontal="right" readingOrder="0" shrinkToFit="0" vertical="bottom" wrapText="0"/>
    </xf>
    <xf borderId="1" fillId="4" fontId="2" numFmtId="0" xfId="0" applyAlignment="1" applyBorder="1" applyFont="1">
      <alignment horizontal="right" readingOrder="0" shrinkToFit="0" vertical="bottom" wrapText="0"/>
    </xf>
    <xf borderId="1" fillId="5" fontId="4" numFmtId="0" xfId="0" applyAlignment="1" applyBorder="1" applyFill="1" applyFont="1">
      <alignment horizontal="left" readingOrder="0" shrinkToFit="0" vertical="bottom" wrapText="0"/>
    </xf>
    <xf borderId="1" fillId="5" fontId="4" numFmtId="0" xfId="0" applyAlignment="1" applyBorder="1" applyFont="1">
      <alignment horizontal="left" shrinkToFit="0" vertical="bottom" wrapText="0"/>
    </xf>
    <xf borderId="1" fillId="6" fontId="5" numFmtId="0" xfId="0" applyAlignment="1" applyBorder="1" applyFill="1" applyFont="1">
      <alignment horizontal="center" readingOrder="0" shrinkToFit="0" vertical="bottom" wrapText="0"/>
    </xf>
    <xf borderId="1" fillId="6" fontId="2" numFmtId="0" xfId="0" applyAlignment="1" applyBorder="1" applyFont="1">
      <alignment shrinkToFit="0" vertical="bottom" wrapText="0"/>
    </xf>
    <xf borderId="1" fillId="6" fontId="6" numFmtId="0" xfId="0" applyAlignment="1" applyBorder="1" applyFont="1">
      <alignment readingOrder="0" shrinkToFit="0" vertical="bottom" wrapText="0"/>
    </xf>
    <xf borderId="2" fillId="6" fontId="6" numFmtId="165" xfId="0" applyAlignment="1" applyBorder="1" applyFont="1" applyNumberFormat="1">
      <alignment horizontal="right" readingOrder="0" shrinkToFit="0" vertical="bottom" wrapText="0"/>
    </xf>
    <xf borderId="1" fillId="6" fontId="2" numFmtId="0" xfId="0" applyAlignment="1" applyBorder="1" applyFont="1">
      <alignment horizontal="right" readingOrder="0" shrinkToFit="0" vertical="bottom" wrapText="0"/>
    </xf>
    <xf borderId="1" fillId="6" fontId="7" numFmtId="0" xfId="0" applyAlignment="1" applyBorder="1" applyFont="1">
      <alignment horizontal="left" shrinkToFit="0" vertical="bottom" wrapText="0"/>
    </xf>
    <xf borderId="1" fillId="6" fontId="8" numFmtId="0" xfId="0" applyAlignment="1" applyBorder="1" applyFont="1">
      <alignment horizontal="left" readingOrder="0" shrinkToFit="0" vertical="bottom" wrapText="0"/>
    </xf>
    <xf borderId="1" fillId="6" fontId="8" numFmtId="0" xfId="0" applyAlignment="1" applyBorder="1" applyFont="1">
      <alignment horizontal="left" shrinkToFit="0" vertical="bottom" wrapText="0"/>
    </xf>
    <xf borderId="1" fillId="7" fontId="5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ont="1">
      <alignment shrinkToFit="0" vertical="bottom" wrapText="0"/>
    </xf>
    <xf borderId="1" fillId="7" fontId="6" numFmtId="0" xfId="0" applyAlignment="1" applyBorder="1" applyFont="1">
      <alignment readingOrder="0" shrinkToFit="0" vertical="bottom" wrapText="0"/>
    </xf>
    <xf borderId="2" fillId="7" fontId="6" numFmtId="165" xfId="0" applyAlignment="1" applyBorder="1" applyFont="1" applyNumberFormat="1">
      <alignment horizontal="right" readingOrder="0" shrinkToFit="0" vertical="bottom" wrapText="0"/>
    </xf>
    <xf borderId="1" fillId="7" fontId="2" numFmtId="0" xfId="0" applyAlignment="1" applyBorder="1" applyFont="1">
      <alignment horizontal="right" readingOrder="0" shrinkToFit="0" vertical="bottom" wrapText="0"/>
    </xf>
    <xf borderId="1" fillId="8" fontId="7" numFmtId="0" xfId="0" applyAlignment="1" applyBorder="1" applyFill="1" applyFont="1">
      <alignment horizontal="left" shrinkToFit="0" vertical="bottom" wrapText="0"/>
    </xf>
    <xf borderId="1" fillId="8" fontId="8" numFmtId="0" xfId="0" applyAlignment="1" applyBorder="1" applyFont="1">
      <alignment horizontal="left" readingOrder="0" shrinkToFit="0" vertical="bottom" wrapText="0"/>
    </xf>
    <xf borderId="1" fillId="8" fontId="8" numFmtId="0" xfId="0" applyAlignment="1" applyBorder="1" applyFont="1">
      <alignment horizontal="left" shrinkToFit="0" vertical="bottom" wrapText="0"/>
    </xf>
    <xf borderId="1" fillId="8" fontId="2" numFmtId="0" xfId="0" applyAlignment="1" applyBorder="1" applyFont="1">
      <alignment shrinkToFit="0" vertical="bottom" wrapText="0"/>
    </xf>
    <xf borderId="1" fillId="9" fontId="5" numFmtId="0" xfId="0" applyAlignment="1" applyBorder="1" applyFill="1" applyFont="1">
      <alignment horizontal="center" readingOrder="0" shrinkToFit="0" vertical="bottom" wrapText="0"/>
    </xf>
    <xf borderId="1" fillId="9" fontId="2" numFmtId="0" xfId="0" applyAlignment="1" applyBorder="1" applyFont="1">
      <alignment shrinkToFit="0" vertical="bottom" wrapText="0"/>
    </xf>
    <xf borderId="1" fillId="9" fontId="6" numFmtId="0" xfId="0" applyAlignment="1" applyBorder="1" applyFont="1">
      <alignment readingOrder="0" shrinkToFit="0" vertical="bottom" wrapText="0"/>
    </xf>
    <xf borderId="2" fillId="9" fontId="6" numFmtId="165" xfId="0" applyAlignment="1" applyBorder="1" applyFont="1" applyNumberFormat="1">
      <alignment horizontal="right" readingOrder="0" shrinkToFit="0" vertical="bottom" wrapText="0"/>
    </xf>
    <xf borderId="1" fillId="9" fontId="2" numFmtId="0" xfId="0" applyAlignment="1" applyBorder="1" applyFont="1">
      <alignment horizontal="right" readingOrder="0" shrinkToFit="0" vertical="bottom" wrapText="0"/>
    </xf>
    <xf borderId="1" fillId="9" fontId="7" numFmtId="0" xfId="0" applyAlignment="1" applyBorder="1" applyFont="1">
      <alignment horizontal="left" shrinkToFit="0" vertical="bottom" wrapText="0"/>
    </xf>
    <xf borderId="1" fillId="9" fontId="8" numFmtId="0" xfId="0" applyAlignment="1" applyBorder="1" applyFont="1">
      <alignment horizontal="left" readingOrder="0" shrinkToFit="0" vertical="bottom" wrapText="0"/>
    </xf>
    <xf borderId="1" fillId="9" fontId="8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62.25"/>
    <col customWidth="1" min="3" max="3" width="12.25"/>
    <col customWidth="1" min="4" max="4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4" t="s">
        <v>4</v>
      </c>
      <c r="C2" s="5">
        <v>46037.0</v>
      </c>
      <c r="D2" s="6">
        <v>1.3</v>
      </c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/>
      <c r="B3" s="4" t="s">
        <v>5</v>
      </c>
      <c r="C3" s="5">
        <v>46037.0</v>
      </c>
      <c r="D3" s="6">
        <v>0.15</v>
      </c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/>
      <c r="B4" s="4" t="s">
        <v>6</v>
      </c>
      <c r="C4" s="5">
        <v>46037.0</v>
      </c>
      <c r="D4" s="4">
        <v>2.0</v>
      </c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/>
      <c r="B5" s="4" t="s">
        <v>7</v>
      </c>
      <c r="C5" s="5">
        <v>46037.0</v>
      </c>
      <c r="D5" s="4">
        <v>1.15</v>
      </c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/>
      <c r="B6" s="4" t="s">
        <v>8</v>
      </c>
      <c r="C6" s="5">
        <v>46038.0</v>
      </c>
      <c r="D6" s="4">
        <v>4.75</v>
      </c>
      <c r="E6" s="2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/>
      <c r="B7" s="4" t="s">
        <v>9</v>
      </c>
      <c r="C7" s="5">
        <v>46038.0</v>
      </c>
      <c r="D7" s="4">
        <v>3.5</v>
      </c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/>
      <c r="B8" s="4" t="s">
        <v>10</v>
      </c>
      <c r="C8" s="5">
        <v>46038.0</v>
      </c>
      <c r="D8" s="4">
        <v>5.75</v>
      </c>
      <c r="E8" s="2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/>
      <c r="B9" s="4" t="s">
        <v>11</v>
      </c>
      <c r="C9" s="5">
        <v>46039.0</v>
      </c>
      <c r="D9" s="4">
        <v>5.0</v>
      </c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/>
      <c r="B10" s="4" t="s">
        <v>12</v>
      </c>
      <c r="C10" s="5">
        <v>46039.0</v>
      </c>
      <c r="D10" s="4">
        <v>5.5</v>
      </c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/>
      <c r="B11" s="4" t="s">
        <v>13</v>
      </c>
      <c r="C11" s="5">
        <v>46041.0</v>
      </c>
      <c r="D11" s="4">
        <v>4.75</v>
      </c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/>
      <c r="B12" s="4" t="s">
        <v>14</v>
      </c>
      <c r="C12" s="5">
        <v>46043.0</v>
      </c>
      <c r="D12" s="4">
        <v>4.75</v>
      </c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/>
      <c r="B13" s="4"/>
      <c r="C13" s="5"/>
      <c r="D13" s="4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7"/>
      <c r="B14" s="7" t="s">
        <v>15</v>
      </c>
      <c r="C14" s="8"/>
      <c r="D14" s="7">
        <f>sum(D2:D12)</f>
        <v>38.6</v>
      </c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2"/>
      <c r="B16" s="2"/>
      <c r="C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9" t="s">
        <v>16</v>
      </c>
      <c r="B17" s="9" t="s">
        <v>1</v>
      </c>
      <c r="C17" s="9" t="s">
        <v>2</v>
      </c>
      <c r="D17" s="9" t="s">
        <v>3</v>
      </c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0"/>
      <c r="B18" s="11" t="s">
        <v>17</v>
      </c>
      <c r="C18" s="12">
        <v>46044.0</v>
      </c>
      <c r="D18" s="13">
        <v>1.5</v>
      </c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0"/>
      <c r="B19" s="11" t="s">
        <v>18</v>
      </c>
      <c r="C19" s="12">
        <v>46044.0</v>
      </c>
      <c r="D19" s="13">
        <v>2.0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0"/>
      <c r="B20" s="11" t="s">
        <v>19</v>
      </c>
      <c r="C20" s="12">
        <v>46044.0</v>
      </c>
      <c r="D20" s="13">
        <v>2.0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0"/>
      <c r="B21" s="11" t="s">
        <v>20</v>
      </c>
      <c r="C21" s="12">
        <v>46045.0</v>
      </c>
      <c r="D21" s="13">
        <v>2.0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0"/>
      <c r="B22" s="11" t="s">
        <v>21</v>
      </c>
      <c r="C22" s="12">
        <v>46045.0</v>
      </c>
      <c r="D22" s="13">
        <v>2.0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0"/>
      <c r="B23" s="11" t="s">
        <v>22</v>
      </c>
      <c r="C23" s="12">
        <v>46046.0</v>
      </c>
      <c r="D23" s="13">
        <v>1.5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0"/>
      <c r="B24" s="11" t="s">
        <v>23</v>
      </c>
      <c r="C24" s="12">
        <v>46046.0</v>
      </c>
      <c r="D24" s="13">
        <v>2.5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0"/>
      <c r="B25" s="11" t="s">
        <v>24</v>
      </c>
      <c r="C25" s="12">
        <v>46046.0</v>
      </c>
      <c r="D25" s="13">
        <v>2.0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0"/>
      <c r="B26" s="11" t="s">
        <v>25</v>
      </c>
      <c r="C26" s="12">
        <v>46047.0</v>
      </c>
      <c r="D26" s="13">
        <v>1.75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0"/>
      <c r="B27" s="11" t="s">
        <v>26</v>
      </c>
      <c r="C27" s="12">
        <v>46047.0</v>
      </c>
      <c r="D27" s="13">
        <v>2.0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0"/>
      <c r="B28" s="11" t="s">
        <v>27</v>
      </c>
      <c r="C28" s="12">
        <v>46047.0</v>
      </c>
      <c r="D28" s="13">
        <v>2.75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4"/>
      <c r="B29" s="15" t="s">
        <v>28</v>
      </c>
      <c r="C29" s="16">
        <v>46048.0</v>
      </c>
      <c r="D29" s="17">
        <v>2.0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4"/>
      <c r="B30" s="15" t="s">
        <v>29</v>
      </c>
      <c r="C30" s="16">
        <v>46048.0</v>
      </c>
      <c r="D30" s="17">
        <v>2.0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4"/>
      <c r="B31" s="15" t="s">
        <v>30</v>
      </c>
      <c r="C31" s="16">
        <v>46048.0</v>
      </c>
      <c r="D31" s="17">
        <v>1.15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4"/>
      <c r="B32" s="15" t="s">
        <v>31</v>
      </c>
      <c r="C32" s="16">
        <v>46049.0</v>
      </c>
      <c r="D32" s="17">
        <v>2.5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4"/>
      <c r="B33" s="18" t="s">
        <v>32</v>
      </c>
      <c r="C33" s="19">
        <v>46049.0</v>
      </c>
      <c r="D33" s="20">
        <v>3.75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21"/>
      <c r="B34" s="21" t="s">
        <v>15</v>
      </c>
      <c r="C34" s="22"/>
      <c r="D34" s="21">
        <f>sum(D18:D33)</f>
        <v>33.4</v>
      </c>
      <c r="E34" s="2"/>
      <c r="F34" s="2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23" t="s">
        <v>33</v>
      </c>
      <c r="B37" s="23" t="s">
        <v>1</v>
      </c>
      <c r="C37" s="23" t="s">
        <v>2</v>
      </c>
      <c r="D37" s="23" t="s">
        <v>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4"/>
      <c r="B38" s="25" t="s">
        <v>34</v>
      </c>
      <c r="C38" s="26">
        <v>46052.0</v>
      </c>
      <c r="D38" s="27">
        <v>1.5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24"/>
      <c r="B39" s="25" t="s">
        <v>35</v>
      </c>
      <c r="C39" s="26">
        <v>46052.0</v>
      </c>
      <c r="D39" s="27">
        <v>1.75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24"/>
      <c r="B40" s="25" t="s">
        <v>36</v>
      </c>
      <c r="C40" s="26">
        <v>46052.0</v>
      </c>
      <c r="D40" s="27">
        <v>2.15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24"/>
      <c r="B41" s="25" t="s">
        <v>37</v>
      </c>
      <c r="C41" s="26">
        <v>46054.0</v>
      </c>
      <c r="D41" s="27">
        <v>2.75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24"/>
      <c r="B42" s="25" t="s">
        <v>38</v>
      </c>
      <c r="C42" s="26">
        <v>46055.0</v>
      </c>
      <c r="D42" s="27">
        <v>3.75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28"/>
      <c r="B44" s="29" t="s">
        <v>15</v>
      </c>
      <c r="C44" s="30"/>
      <c r="D44" s="24">
        <f>sum(D38:D42)</f>
        <v>11.9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1" t="s">
        <v>39</v>
      </c>
      <c r="B47" s="31" t="s">
        <v>1</v>
      </c>
      <c r="C47" s="31" t="s">
        <v>2</v>
      </c>
      <c r="D47" s="31" t="s">
        <v>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2"/>
      <c r="B48" s="33" t="s">
        <v>40</v>
      </c>
      <c r="C48" s="34">
        <v>46059.0</v>
      </c>
      <c r="D48" s="35">
        <v>3.75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2"/>
      <c r="B49" s="33" t="s">
        <v>41</v>
      </c>
      <c r="C49" s="34">
        <v>46061.0</v>
      </c>
      <c r="D49" s="35">
        <v>3.25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2"/>
      <c r="B50" s="33" t="s">
        <v>42</v>
      </c>
      <c r="C50" s="34">
        <v>46061.0</v>
      </c>
      <c r="D50" s="35">
        <v>4.5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2"/>
      <c r="B51" s="33" t="s">
        <v>43</v>
      </c>
      <c r="C51" s="34">
        <v>46062.0</v>
      </c>
      <c r="D51" s="35">
        <v>3.75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2"/>
      <c r="B52" s="33" t="s">
        <v>44</v>
      </c>
      <c r="C52" s="34">
        <v>46063.0</v>
      </c>
      <c r="D52" s="35">
        <v>3.5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6"/>
      <c r="B54" s="37" t="s">
        <v>15</v>
      </c>
      <c r="C54" s="38"/>
      <c r="D54" s="39">
        <f>sum(D48:D52)</f>
        <v>18.75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0" t="s">
        <v>45</v>
      </c>
      <c r="B57" s="40" t="s">
        <v>1</v>
      </c>
      <c r="C57" s="40" t="s">
        <v>2</v>
      </c>
      <c r="D57" s="40" t="s">
        <v>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1"/>
      <c r="B58" s="42" t="s">
        <v>46</v>
      </c>
      <c r="C58" s="43">
        <v>46066.0</v>
      </c>
      <c r="D58" s="44">
        <v>2.15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1"/>
      <c r="B59" s="42" t="s">
        <v>47</v>
      </c>
      <c r="C59" s="43">
        <v>46066.0</v>
      </c>
      <c r="D59" s="44">
        <v>3.75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1"/>
      <c r="B60" s="42"/>
      <c r="C60" s="43"/>
      <c r="D60" s="4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1"/>
      <c r="B61" s="42"/>
      <c r="C61" s="43"/>
      <c r="D61" s="4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41"/>
      <c r="B62" s="42"/>
      <c r="C62" s="43"/>
      <c r="D62" s="4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45"/>
      <c r="B64" s="46" t="s">
        <v>15</v>
      </c>
      <c r="C64" s="47"/>
      <c r="D64" s="41">
        <f>sum(D58:D62)</f>
        <v>5.9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</sheetData>
  <drawing r:id="rId1"/>
</worksheet>
</file>