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 Capstone_Timesheet" sheetId="1" r:id="rId5"/>
  </sheets>
  <definedNames/>
  <calcPr/>
</workbook>
</file>

<file path=xl/sharedStrings.xml><?xml version="1.0" encoding="utf-8"?>
<sst xmlns="http://schemas.openxmlformats.org/spreadsheetml/2006/main" count="108" uniqueCount="80">
  <si>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</si>
  <si>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</si>
  <si>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</si>
  <si>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</si>
  <si>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</si>
  <si>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</si>
  <si>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</si>
  <si>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</si>
  <si>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</si>
  <si>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</si>
  <si>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</si>
  <si>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</si>
  <si>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</si>
  <si>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</si>
  <si>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</si>
  <si>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</si>
  <si>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</si>
  <si>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</si>
  <si>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</si>
  <si>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</si>
  <si>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</si>
  <si>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</si>
  <si>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</si>
  <si>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</si>
  <si>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</si>
  <si>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</si>
  <si>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</si>
  <si>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</si>
  <si>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</si>
  <si>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</si>
  <si>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</si>
  <si>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</si>
  <si>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</si>
  <si>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</si>
  <si>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</si>
  <si>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</si>
  <si>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</si>
  <si>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</si>
  <si>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</si>
  <si>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</si>
  <si>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</si>
  <si>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</si>
  <si>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</si>
  <si>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</si>
  <si>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</si>
  <si>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</si>
  <si>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</si>
  <si>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</si>
  <si>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</si>
  <si>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</si>
  <si>
    <t>Week_6</t>
  </si>
  <si>
    <t>Figma User Testing (for 2 Users)</t>
  </si>
  <si>
    <t>Figma User Testing (for 3 Users)</t>
  </si>
  <si>
    <t>Mentor Draft Email</t>
  </si>
  <si>
    <t>Mentor Checklist</t>
  </si>
  <si>
    <t>set up the Laravel project, connected the database, installed the login/register system, added user roles (patient, doctor, admin), created role-based dashboard routes, and worked on debugging the login/session issue.</t>
  </si>
  <si>
    <t>Week_7</t>
  </si>
  <si>
    <t>Worked on homepage UI improvements including navbar hover effects, updated Register button to primary blue, refined hero section layout and styling, adjusted text colors, and improved overall visual clarity.</t>
  </si>
  <si>
    <t>Completed Home page (Hero section)</t>
  </si>
  <si>
    <t>Completed Home page (Services section)</t>
  </si>
  <si>
    <t>Completed Home page (Footer section)</t>
  </si>
  <si>
    <t>Revised User Testing Report</t>
  </si>
  <si>
    <t>Add Doctors Pages</t>
  </si>
  <si>
    <t>Mentor Meeting</t>
  </si>
  <si>
    <t>Mentor Meeting Thank you email</t>
  </si>
  <si>
    <t>Mentor meeting Notes for Bernie</t>
  </si>
  <si>
    <t>Week_8</t>
  </si>
  <si>
    <t>Create Admin Dashboard UI</t>
  </si>
  <si>
    <t>Create Admin Appoitment Page UI</t>
  </si>
  <si>
    <t>Create Admin Profile UI</t>
  </si>
  <si>
    <t>Create Health Record UI</t>
  </si>
  <si>
    <t>Create Find-Dotcor Page UI</t>
  </si>
  <si>
    <t>Create Services Page UI</t>
  </si>
  <si>
    <t>Create Book-appointment Form UI</t>
  </si>
  <si>
    <t>Create Contact US Page UI</t>
  </si>
  <si>
    <t>Solve Error for find doctor Page + create Doctor Profile pages for 5 Doctors</t>
  </si>
  <si>
    <t>Services Page UI Connect with Services page and department pages (Controller + model)</t>
  </si>
  <si>
    <t>Implement Book Appointment Form functionality (Controller + Model + Route)</t>
  </si>
  <si>
    <t>Create Appointments Database Table and connect form to MySQL</t>
  </si>
  <si>
    <t>Improve Book Appointment UI and form validation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</si>
</sst>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m"/>
    <numFmt numFmtId="165" formatCode="d-mmm"/>
  </numFmts>
  <fonts count="9">
    <font>
      <sz val="10.0"/>
      <color rgb="FF000000"/>
      <name val="Arial"/>
      <scheme val="minor"/>
    </font>
    <font>
      <b/>
      <sz val="14.0"/>
      <color rgb="FF000000"/>
      <name val="Arial"/>
    </font>
    <font>
      <sz val="14.0"/>
      <color rgb="FF000000"/>
      <name val="Arial"/>
    </font>
    <font>
      <sz val="14.0"/>
      <color theme="1"/>
      <name val="Arial"/>
    </font>
    <font>
      <sz val="14.0"/>
      <color rgb="FFFFFFFF"/>
      <name val="Arial"/>
    </font>
    <font>
      <b/>
      <sz val="12.0"/>
      <color rgb="FF000000"/>
      <name val="Arial"/>
    </font>
    <font>
      <sz val="12.0"/>
      <color rgb="FF000000"/>
      <name val="Arial"/>
    </font>
    <font>
      <sz val="12.0"/>
      <color rgb="FFFFFFFF"/>
      <name val="Arial"/>
    </font>
    <font>
      <sz val="12.0"/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  <fill>
      <patternFill patternType="solid">
        <fgColor rgb="FFC7EFF6"/>
        <bgColor rgb="FFC7EFF6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4" fontId="2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3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2" numFmtId="0" xfId="0" applyAlignment="1" applyBorder="1" applyFont="1">
      <alignment readingOrder="0" shrinkToFit="0" vertical="bottom" wrapText="0"/>
    </xf>
    <xf borderId="1" fillId="4" fontId="2" numFmtId="165" xfId="0" applyAlignment="1" applyBorder="1" applyFont="1" applyNumberFormat="1">
      <alignment horizontal="right" readingOrder="0" shrinkToFit="0" vertical="bottom" wrapText="0"/>
    </xf>
    <xf borderId="1" fillId="4" fontId="2" numFmtId="0" xfId="0" applyAlignment="1" applyBorder="1" applyFont="1">
      <alignment horizontal="right" readingOrder="0" shrinkToFit="0" vertical="bottom" wrapText="0"/>
    </xf>
    <xf borderId="1" fillId="5" fontId="4" numFmtId="0" xfId="0" applyAlignment="1" applyBorder="1" applyFill="1" applyFont="1">
      <alignment horizontal="left" readingOrder="0" shrinkToFit="0" vertical="bottom" wrapText="0"/>
    </xf>
    <xf borderId="1" fillId="5" fontId="4" numFmtId="0" xfId="0" applyAlignment="1" applyBorder="1" applyFont="1">
      <alignment horizontal="left" shrinkToFit="0" vertical="bottom" wrapText="0"/>
    </xf>
    <xf borderId="1" fillId="6" fontId="5" numFmtId="0" xfId="0" applyAlignment="1" applyBorder="1" applyFill="1" applyFont="1">
      <alignment horizontal="center" readingOrder="0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2" fillId="6" fontId="6" numFmtId="165" xfId="0" applyAlignment="1" applyBorder="1" applyFont="1" applyNumberFormat="1">
      <alignment horizontal="right" readingOrder="0" shrinkToFit="0" vertical="bottom" wrapText="0"/>
    </xf>
    <xf borderId="1" fillId="6" fontId="2" numFmtId="0" xfId="0" applyAlignment="1" applyBorder="1" applyFont="1">
      <alignment horizontal="right" readingOrder="0" shrinkToFit="0" vertical="bottom" wrapText="0"/>
    </xf>
    <xf borderId="1" fillId="6" fontId="7" numFmtId="0" xfId="0" applyAlignment="1" applyBorder="1" applyFont="1">
      <alignment horizontal="left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1" fillId="7" fontId="5" numFmtId="0" xfId="0" applyAlignment="1" applyBorder="1" applyFill="1" applyFont="1">
      <alignment horizontal="center" readingOrder="0"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7" fontId="6" numFmtId="0" xfId="0" applyAlignment="1" applyBorder="1" applyFont="1">
      <alignment readingOrder="0" shrinkToFit="0" vertical="bottom" wrapText="0"/>
    </xf>
    <xf borderId="2" fillId="7" fontId="6" numFmtId="165" xfId="0" applyAlignment="1" applyBorder="1" applyFont="1" applyNumberFormat="1">
      <alignment horizontal="right" readingOrder="0" shrinkToFit="0" vertical="bottom" wrapText="0"/>
    </xf>
    <xf borderId="1" fillId="7" fontId="2" numFmtId="0" xfId="0" applyAlignment="1" applyBorder="1" applyFont="1">
      <alignment horizontal="right" readingOrder="0" shrinkToFit="0" vertical="bottom" wrapText="0"/>
    </xf>
    <xf borderId="1" fillId="8" fontId="7" numFmtId="0" xfId="0" applyAlignment="1" applyBorder="1" applyFill="1" applyFont="1">
      <alignment horizontal="left" shrinkToFit="0" vertical="bottom" wrapText="0"/>
    </xf>
    <xf borderId="1" fillId="8" fontId="8" numFmtId="0" xfId="0" applyAlignment="1" applyBorder="1" applyFont="1">
      <alignment horizontal="left" readingOrder="0" shrinkToFit="0" vertical="bottom" wrapText="0"/>
    </xf>
    <xf borderId="1" fillId="8" fontId="8" numFmtId="0" xfId="0" applyAlignment="1" applyBorder="1" applyFont="1">
      <alignment horizontal="left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9" fontId="5" numFmtId="0" xfId="0" applyAlignment="1" applyBorder="1" applyFill="1" applyFont="1">
      <alignment horizontal="center" readingOrder="0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2" fillId="9" fontId="6" numFmtId="165" xfId="0" applyAlignment="1" applyBorder="1" applyFont="1" applyNumberFormat="1">
      <alignment horizontal="right" readingOrder="0" shrinkToFit="0" vertical="bottom" wrapText="0"/>
    </xf>
    <xf borderId="1" fillId="9" fontId="2" numFmtId="0" xfId="0" applyAlignment="1" applyBorder="1" applyFont="1">
      <alignment horizontal="right" readingOrder="0" shrinkToFit="0" vertical="bottom" wrapText="0"/>
    </xf>
    <xf borderId="1" fillId="9" fontId="7" numFmtId="0" xfId="0" applyAlignment="1" applyBorder="1" applyFont="1">
      <alignment horizontal="left" shrinkToFit="0" vertical="bottom" wrapText="0"/>
    </xf>
    <xf borderId="1" fillId="9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ont="1">
      <alignment horizontal="left" shrinkToFit="0" vertical="bottom" wrapText="0"/>
    </xf>
    <xf borderId="1" fillId="10" fontId="5" numFmtId="0" xfId="0" applyAlignment="1" applyBorder="1" applyFill="1" applyFont="1">
      <alignment horizontal="center" readingOrder="0" shrinkToFit="0" vertical="bottom" wrapText="0"/>
    </xf>
    <xf borderId="1" fillId="10" fontId="2" numFmtId="0" xfId="0" applyAlignment="1" applyBorder="1" applyFont="1">
      <alignment shrinkToFit="0" vertical="bottom" wrapText="0"/>
    </xf>
    <xf borderId="1" fillId="10" fontId="6" numFmtId="0" xfId="0" applyAlignment="1" applyBorder="1" applyFont="1">
      <alignment readingOrder="0" shrinkToFit="0" vertical="bottom" wrapText="0"/>
    </xf>
    <xf borderId="1" fillId="10" fontId="6" numFmtId="165" xfId="0" applyAlignment="1" applyBorder="1" applyFont="1" applyNumberFormat="1">
      <alignment horizontal="right" readingOrder="0" shrinkToFit="0" vertical="bottom" wrapText="0"/>
    </xf>
    <xf borderId="1" fillId="10" fontId="2" numFmtId="0" xfId="0" applyAlignment="1" applyBorder="1" applyFont="1">
      <alignment horizontal="right" readingOrder="0" shrinkToFit="0" vertical="bottom" wrapText="0"/>
    </xf>
    <xf borderId="1" fillId="10" fontId="6" numFmtId="0" xfId="0" applyAlignment="1" applyBorder="1" applyFont="1">
      <alignment readingOrder="0" shrinkToFit="0" vertical="bottom" wrapText="1"/>
    </xf>
    <xf borderId="1" fillId="10" fontId="7" numFmtId="0" xfId="0" applyAlignment="1" applyBorder="1" applyFont="1">
      <alignment horizontal="left" shrinkToFit="0" vertical="bottom" wrapText="0"/>
    </xf>
    <xf borderId="1" fillId="10" fontId="8" numFmtId="0" xfId="0" applyAlignment="1" applyBorder="1" applyFont="1">
      <alignment horizontal="left" readingOrder="0" shrinkToFit="0" vertical="bottom" wrapText="0"/>
    </xf>
    <xf borderId="1" fillId="10" fontId="8" numFmtId="0" xfId="0" applyAlignment="1" applyBorder="1" applyFont="1">
      <alignment horizontal="left" shrinkToFit="0" vertical="bottom" wrapText="0"/>
    </xf>
    <xf borderId="1" fillId="11" fontId="5" numFmtId="0" xfId="0" applyAlignment="1" applyBorder="1" applyFill="1" applyFont="1">
      <alignment horizontal="center" readingOrder="0" shrinkToFit="0" vertical="bottom" wrapText="0"/>
    </xf>
    <xf borderId="1" fillId="11" fontId="2" numFmtId="0" xfId="0" applyAlignment="1" applyBorder="1" applyFont="1">
      <alignment shrinkToFit="0" vertical="bottom" wrapText="0"/>
    </xf>
    <xf borderId="1" fillId="11" fontId="6" numFmtId="0" xfId="0" applyAlignment="1" applyBorder="1" applyFont="1">
      <alignment readingOrder="0" shrinkToFit="0" vertical="bottom" wrapText="1"/>
    </xf>
    <xf borderId="1" fillId="11" fontId="6" numFmtId="165" xfId="0" applyAlignment="1" applyBorder="1" applyFont="1" applyNumberFormat="1">
      <alignment horizontal="right" readingOrder="0" shrinkToFit="0" vertical="bottom" wrapText="0"/>
    </xf>
    <xf borderId="1" fillId="11" fontId="2" numFmtId="0" xfId="0" applyAlignment="1" applyBorder="1" applyFont="1">
      <alignment horizontal="right" readingOrder="0" shrinkToFit="0" vertical="bottom" wrapText="0"/>
    </xf>
    <xf borderId="1" fillId="11" fontId="6" numFmtId="0" xfId="0" applyAlignment="1" applyBorder="1" applyFont="1">
      <alignment readingOrder="0" shrinkToFit="0" vertical="bottom" wrapText="0"/>
    </xf>
    <xf borderId="1" fillId="11" fontId="3" numFmtId="0" xfId="0" applyBorder="1" applyFont="1"/>
    <xf borderId="1" fillId="11" fontId="8" numFmtId="0" xfId="0" applyAlignment="1" applyBorder="1" applyFont="1">
      <alignment readingOrder="0"/>
    </xf>
    <xf borderId="1" fillId="11" fontId="3" numFmtId="0" xfId="0" applyAlignment="1" applyBorder="1" applyFont="1">
      <alignment readingOrder="0"/>
    </xf>
    <xf borderId="0" fillId="11" fontId="3" numFmtId="0" xfId="0" applyFont="1"/>
    <xf borderId="1" fillId="11" fontId="7" numFmtId="0" xfId="0" applyAlignment="1" applyBorder="1" applyFont="1">
      <alignment horizontal="left" shrinkToFit="0" vertical="bottom" wrapText="0"/>
    </xf>
    <xf borderId="1" fillId="11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ont="1">
      <alignment horizontal="left" shrinkToFit="0" vertical="bottom" wrapText="0"/>
    </xf>
    <xf borderId="1" fillId="9" fontId="6" numFmtId="0" xfId="0" applyAlignment="1" applyBorder="1" applyFont="1">
      <alignment readingOrder="0" shrinkToFit="0" vertical="bottom" wrapText="1"/>
    </xf>
    <xf borderId="1" fillId="9" fontId="6" numFmtId="165" xfId="0" applyAlignment="1" applyBorder="1" applyFont="1" applyNumberFormat="1">
      <alignment horizontal="right" readingOrder="0"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1" fillId="9" fontId="6" numFmtId="165" xfId="0" applyAlignment="1" applyBorder="1" applyFont="1" applyNumberFormat="1">
      <alignment horizontal="right" readingOrder="0" shrinkToFit="0" vertical="bottom" wrapText="0"/>
    </xf>
    <xf borderId="1" fillId="9" fontId="3" numFmtId="0" xfId="0" applyBorder="1" applyFont="1"/>
    <xf borderId="1" fillId="9" fontId="3" numFmtId="0" xfId="0" applyAlignment="1" applyBorder="1" applyFont="1">
      <alignment readingOrder="0"/>
    </xf>
    <xf borderId="1" fillId="9" fontId="8" numFmtId="0" xfId="0" applyAlignment="1" applyBorder="1" applyFont="1">
      <alignment readingOrder="0"/>
    </xf>
    <xf borderId="1" fillId="9" fontId="2" numFmtId="0" xfId="0" applyAlignment="1" applyBorder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80.63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2.0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1.15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/>
      <c r="B6" s="4" t="s">
        <v>8</v>
      </c>
      <c r="C6" s="5">
        <v>46038.0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/>
      <c r="B7" s="4" t="s">
        <v>9</v>
      </c>
      <c r="C7" s="5">
        <v>46038.0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/>
      <c r="B8" s="4" t="s">
        <v>10</v>
      </c>
      <c r="C8" s="5">
        <v>46038.0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/>
      <c r="B9" s="4" t="s">
        <v>11</v>
      </c>
      <c r="C9" s="5">
        <v>46039.0</v>
      </c>
      <c r="D9" s="4">
        <v>5.0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/>
      <c r="B10" s="4" t="s">
        <v>12</v>
      </c>
      <c r="C10" s="5">
        <v>46039.0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/>
      <c r="B11" s="4" t="s">
        <v>13</v>
      </c>
      <c r="C11" s="5">
        <v>46041.0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/>
      <c r="B12" s="4" t="s">
        <v>14</v>
      </c>
      <c r="C12" s="5">
        <v>46043.0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0"/>
      <c r="B18" s="11" t="s">
        <v>17</v>
      </c>
      <c r="C18" s="12">
        <v>46044.0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0"/>
      <c r="B19" s="11" t="s">
        <v>18</v>
      </c>
      <c r="C19" s="12">
        <v>46044.0</v>
      </c>
      <c r="D19" s="13">
        <v>2.0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0"/>
      <c r="B20" s="11" t="s">
        <v>19</v>
      </c>
      <c r="C20" s="12">
        <v>46044.0</v>
      </c>
      <c r="D20" s="13">
        <v>2.0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0"/>
      <c r="B21" s="11" t="s">
        <v>20</v>
      </c>
      <c r="C21" s="12">
        <v>46045.0</v>
      </c>
      <c r="D21" s="13">
        <v>2.0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0"/>
      <c r="B22" s="11" t="s">
        <v>21</v>
      </c>
      <c r="C22" s="12">
        <v>46045.0</v>
      </c>
      <c r="D22" s="13">
        <v>2.0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0"/>
      <c r="B23" s="11" t="s">
        <v>22</v>
      </c>
      <c r="C23" s="12">
        <v>46046.0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0"/>
      <c r="B24" s="11" t="s">
        <v>23</v>
      </c>
      <c r="C24" s="12">
        <v>46046.0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0"/>
      <c r="B25" s="11" t="s">
        <v>24</v>
      </c>
      <c r="C25" s="12">
        <v>46046.0</v>
      </c>
      <c r="D25" s="13">
        <v>2.0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0"/>
      <c r="B26" s="11" t="s">
        <v>25</v>
      </c>
      <c r="C26" s="12">
        <v>46047.0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0"/>
      <c r="B27" s="11" t="s">
        <v>26</v>
      </c>
      <c r="C27" s="12">
        <v>46047.0</v>
      </c>
      <c r="D27" s="13">
        <v>2.0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0"/>
      <c r="B28" s="11" t="s">
        <v>27</v>
      </c>
      <c r="C28" s="12">
        <v>46047.0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4"/>
      <c r="B29" s="15" t="s">
        <v>28</v>
      </c>
      <c r="C29" s="16">
        <v>46048.0</v>
      </c>
      <c r="D29" s="17">
        <v>2.0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4"/>
      <c r="B30" s="15" t="s">
        <v>29</v>
      </c>
      <c r="C30" s="16">
        <v>46048.0</v>
      </c>
      <c r="D30" s="17">
        <v>2.0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4"/>
      <c r="B31" s="15" t="s">
        <v>30</v>
      </c>
      <c r="C31" s="16">
        <v>46048.0</v>
      </c>
      <c r="D31" s="17">
        <v>1.15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4"/>
      <c r="B32" s="15" t="s">
        <v>31</v>
      </c>
      <c r="C32" s="16">
        <v>46049.0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4"/>
      <c r="B33" s="18" t="s">
        <v>32</v>
      </c>
      <c r="C33" s="19">
        <v>46049.0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24"/>
      <c r="B38" s="25" t="s">
        <v>34</v>
      </c>
      <c r="C38" s="26">
        <v>46052.0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24"/>
      <c r="B39" s="25" t="s">
        <v>35</v>
      </c>
      <c r="C39" s="26">
        <v>46052.0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24"/>
      <c r="B40" s="25" t="s">
        <v>36</v>
      </c>
      <c r="C40" s="26">
        <v>46052.0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24"/>
      <c r="B41" s="25" t="s">
        <v>37</v>
      </c>
      <c r="C41" s="26">
        <v>46054.0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24"/>
      <c r="B42" s="25" t="s">
        <v>38</v>
      </c>
      <c r="C42" s="26">
        <v>46055.0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2"/>
      <c r="B48" s="33" t="s">
        <v>40</v>
      </c>
      <c r="C48" s="34">
        <v>46059.0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2"/>
      <c r="B49" s="33" t="s">
        <v>41</v>
      </c>
      <c r="C49" s="34">
        <v>46061.0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2"/>
      <c r="B50" s="33" t="s">
        <v>42</v>
      </c>
      <c r="C50" s="34">
        <v>46061.0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2"/>
      <c r="B51" s="33" t="s">
        <v>43</v>
      </c>
      <c r="C51" s="34">
        <v>46062.0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2"/>
      <c r="B52" s="33" t="s">
        <v>44</v>
      </c>
      <c r="C52" s="34">
        <v>46063.0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41"/>
      <c r="B58" s="42" t="s">
        <v>46</v>
      </c>
      <c r="C58" s="43">
        <v>46066.0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41"/>
      <c r="B59" s="42" t="s">
        <v>47</v>
      </c>
      <c r="C59" s="43">
        <v>46066.0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41"/>
      <c r="B60" s="42" t="s">
        <v>48</v>
      </c>
      <c r="C60" s="43">
        <v>46069.0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41"/>
      <c r="B61" s="42" t="s">
        <v>49</v>
      </c>
      <c r="C61" s="43">
        <v>46069.0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45"/>
      <c r="B63" s="46" t="s">
        <v>15</v>
      </c>
      <c r="C63" s="47"/>
      <c r="D63" s="41">
        <f>sum(D58:D61)</f>
        <v>11.9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48" t="s">
        <v>50</v>
      </c>
      <c r="B66" s="48" t="s">
        <v>1</v>
      </c>
      <c r="C66" s="48" t="s">
        <v>2</v>
      </c>
      <c r="D66" s="48" t="s">
        <v>3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49"/>
      <c r="B67" s="50" t="s">
        <v>51</v>
      </c>
      <c r="C67" s="51">
        <v>46073.0</v>
      </c>
      <c r="D67" s="52">
        <v>1.75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49"/>
      <c r="B68" s="50" t="s">
        <v>52</v>
      </c>
      <c r="C68" s="51">
        <v>46074.0</v>
      </c>
      <c r="D68" s="52">
        <v>2.0</v>
      </c>
      <c r="E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49"/>
      <c r="B69" s="50" t="s">
        <v>53</v>
      </c>
      <c r="C69" s="51">
        <v>46075.0</v>
      </c>
      <c r="D69" s="52">
        <v>0.25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49"/>
      <c r="B70" s="50" t="s">
        <v>54</v>
      </c>
      <c r="C70" s="51">
        <v>46076.0</v>
      </c>
      <c r="D70" s="52">
        <v>1.75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49"/>
      <c r="B71" s="53" t="s">
        <v>55</v>
      </c>
      <c r="C71" s="51">
        <v>46076.0</v>
      </c>
      <c r="D71" s="52">
        <v>3.75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54"/>
      <c r="B73" s="55" t="s">
        <v>15</v>
      </c>
      <c r="C73" s="56"/>
      <c r="D73" s="49">
        <f>sum(D67:D71)</f>
        <v>9.5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57" t="s">
        <v>56</v>
      </c>
      <c r="B76" s="57" t="s">
        <v>1</v>
      </c>
      <c r="C76" s="57" t="s">
        <v>2</v>
      </c>
      <c r="D76" s="57" t="s">
        <v>3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58"/>
      <c r="B77" s="59" t="s">
        <v>57</v>
      </c>
      <c r="C77" s="60">
        <v>46080.0</v>
      </c>
      <c r="D77" s="61">
        <v>3.75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58"/>
      <c r="B78" s="62" t="s">
        <v>58</v>
      </c>
      <c r="C78" s="60">
        <v>46081.0</v>
      </c>
      <c r="D78" s="61">
        <v>1.75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58"/>
      <c r="B79" s="62" t="s">
        <v>59</v>
      </c>
      <c r="C79" s="60">
        <v>46081.0</v>
      </c>
      <c r="D79" s="61">
        <v>2.15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58"/>
      <c r="B80" s="62" t="s">
        <v>60</v>
      </c>
      <c r="C80" s="60">
        <v>46081.0</v>
      </c>
      <c r="D80" s="61">
        <v>0.45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58"/>
      <c r="B81" s="59" t="s">
        <v>61</v>
      </c>
      <c r="C81" s="60">
        <v>46082.0</v>
      </c>
      <c r="D81" s="61">
        <v>2.5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63"/>
      <c r="B82" s="64" t="s">
        <v>62</v>
      </c>
      <c r="C82" s="60">
        <v>46083.0</v>
      </c>
      <c r="D82" s="65">
        <v>3.75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63"/>
      <c r="B83" s="64" t="s">
        <v>63</v>
      </c>
      <c r="C83" s="60">
        <v>46085.0</v>
      </c>
      <c r="D83" s="65">
        <v>0.75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63"/>
      <c r="B84" s="64" t="s">
        <v>64</v>
      </c>
      <c r="C84" s="60">
        <v>46085.0</v>
      </c>
      <c r="D84" s="65">
        <v>0.25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63"/>
      <c r="B85" s="64" t="s">
        <v>65</v>
      </c>
      <c r="C85" s="60">
        <v>46085.0</v>
      </c>
      <c r="D85" s="65">
        <v>0.5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66"/>
      <c r="B86" s="66"/>
      <c r="C86" s="66"/>
      <c r="D86" s="66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67"/>
      <c r="B87" s="68" t="s">
        <v>15</v>
      </c>
      <c r="C87" s="69"/>
      <c r="D87" s="58">
        <f>sum(D77:D82)</f>
        <v>14.35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40" t="s">
        <v>66</v>
      </c>
      <c r="B90" s="40" t="s">
        <v>1</v>
      </c>
      <c r="C90" s="40" t="s">
        <v>2</v>
      </c>
      <c r="D90" s="40" t="s">
        <v>3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41"/>
      <c r="B91" s="70" t="s">
        <v>67</v>
      </c>
      <c r="C91" s="71">
        <v>46087.0</v>
      </c>
      <c r="D91" s="44">
        <v>1.75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41"/>
      <c r="B92" s="72" t="s">
        <v>68</v>
      </c>
      <c r="C92" s="71">
        <v>46087.0</v>
      </c>
      <c r="D92" s="44">
        <v>2.5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41"/>
      <c r="B93" s="72" t="s">
        <v>69</v>
      </c>
      <c r="C93" s="73">
        <v>46087.0</v>
      </c>
      <c r="D93" s="44">
        <v>2.15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41"/>
      <c r="B94" s="72" t="s">
        <v>70</v>
      </c>
      <c r="C94" s="73">
        <v>46087.0</v>
      </c>
      <c r="D94" s="44">
        <v>2.75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41"/>
      <c r="B95" s="70" t="s">
        <v>71</v>
      </c>
      <c r="C95" s="73">
        <v>46088.0</v>
      </c>
      <c r="D95" s="44">
        <v>2.0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74"/>
      <c r="B96" s="70" t="s">
        <v>72</v>
      </c>
      <c r="C96" s="73">
        <v>46088.0</v>
      </c>
      <c r="D96" s="75">
        <v>1.75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74"/>
      <c r="B97" s="70" t="s">
        <v>73</v>
      </c>
      <c r="C97" s="73">
        <v>46088.0</v>
      </c>
      <c r="D97" s="75">
        <v>1.15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74"/>
      <c r="B98" s="70" t="s">
        <v>74</v>
      </c>
      <c r="C98" s="73">
        <v>46088.0</v>
      </c>
      <c r="D98" s="75">
        <v>0.75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74"/>
      <c r="B99" s="76" t="s">
        <v>75</v>
      </c>
      <c r="C99" s="73">
        <v>46089.0</v>
      </c>
      <c r="D99" s="75">
        <v>3.75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74"/>
      <c r="B100" s="76" t="s">
        <v>76</v>
      </c>
      <c r="C100" s="73">
        <v>46089.0</v>
      </c>
      <c r="D100" s="75">
        <v>4.15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45"/>
      <c r="B101" s="72" t="s">
        <v>77</v>
      </c>
      <c r="C101" s="73">
        <v>46090.0</v>
      </c>
      <c r="D101" s="77">
        <v>2.25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45"/>
      <c r="B102" s="72" t="s">
        <v>78</v>
      </c>
      <c r="C102" s="73">
        <v>46090.0</v>
      </c>
      <c r="D102" s="77">
        <v>1.75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45"/>
      <c r="B103" s="72" t="s">
        <v>79</v>
      </c>
      <c r="C103" s="73">
        <v>46090.0</v>
      </c>
      <c r="D103" s="77">
        <v>1.0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45"/>
      <c r="B104" s="46" t="s">
        <v>15</v>
      </c>
      <c r="C104" s="47"/>
      <c r="D104" s="41">
        <f>sum(D91:D103)</f>
        <v>27.7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</sheetData>
  <drawing r:id="rId1"/>
</worksheet>
</file>